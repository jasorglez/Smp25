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hco-c\OneDrive\Escritorio\SMP\"/>
    </mc:Choice>
  </mc:AlternateContent>
  <xr:revisionPtr revIDLastSave="0" documentId="13_ncr:1_{ABDC3E58-E2E1-4F00-ACF1-A201F5BA6365}" xr6:coauthVersionLast="47" xr6:coauthVersionMax="47" xr10:uidLastSave="{00000000-0000-0000-0000-000000000000}"/>
  <bookViews>
    <workbookView xWindow="56340" yWindow="615" windowWidth="21180" windowHeight="19680" xr2:uid="{922C2597-FD5B-49FA-9130-19EE40C6034C}"/>
  </bookViews>
  <sheets>
    <sheet name="Proyectos" sheetId="1" r:id="rId1"/>
    <sheet name="Hoja7" sheetId="7" state="hidden" r:id="rId2"/>
    <sheet name="Hoja8" sheetId="8" state="hidden" r:id="rId3"/>
    <sheet name="Hoja2" sheetId="2" state="hidden" r:id="rId4"/>
    <sheet name="Hoja3" sheetId="3" state="hidden" r:id="rId5"/>
    <sheet name="Hoja6" sheetId="6" state="hidden" r:id="rId6"/>
    <sheet name="Hoja5" sheetId="5" state="hidden" r:id="rId7"/>
  </sheets>
  <definedNames>
    <definedName name="_xlnm._FilterDatabase" localSheetId="3" hidden="1">Hoja2!$C$2:$D$489</definedName>
    <definedName name="_xlnm._FilterDatabase" localSheetId="4" hidden="1">Hoja3!$B$2:$C$373</definedName>
    <definedName name="_xlnm._FilterDatabase" localSheetId="0" hidden="1">Proyectos!$E$2:$AE$110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3" i="2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2" i="6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3" i="2"/>
  <c r="D104" i="2"/>
  <c r="D105" i="2"/>
  <c r="D106" i="2"/>
  <c r="D107" i="2"/>
  <c r="D108" i="2"/>
  <c r="D109" i="2"/>
  <c r="D110" i="2"/>
  <c r="D111" i="2"/>
  <c r="D112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37" i="2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<sst xmlns="http://schemas.openxmlformats.org/spreadsheetml/2006/main" count="2677" uniqueCount="460">
  <si>
    <t>id</t>
  </si>
  <si>
    <t>idConsecutivo</t>
  </si>
  <si>
    <t>number</t>
  </si>
  <si>
    <t>id_contrato</t>
  </si>
  <si>
    <t>id_oilfield</t>
  </si>
  <si>
    <t>id_active</t>
  </si>
  <si>
    <t>name</t>
  </si>
  <si>
    <t>year</t>
  </si>
  <si>
    <t>diameter</t>
  </si>
  <si>
    <t>length</t>
  </si>
  <si>
    <t>description</t>
  </si>
  <si>
    <t>priority</t>
  </si>
  <si>
    <t>budgetmanagement</t>
  </si>
  <si>
    <t>linerigth</t>
  </si>
  <si>
    <t>government</t>
  </si>
  <si>
    <t>receivedenginnering</t>
  </si>
  <si>
    <t>datedelivery</t>
  </si>
  <si>
    <t>supplypipe</t>
  </si>
  <si>
    <t>request</t>
  </si>
  <si>
    <t>programstart</t>
  </si>
  <si>
    <t>programend</t>
  </si>
  <si>
    <t>bestprojectedstart</t>
  </si>
  <si>
    <t>bestprojectedend</t>
  </si>
  <si>
    <t>classification</t>
  </si>
  <si>
    <t>state</t>
  </si>
  <si>
    <t>typeconstruction</t>
  </si>
  <si>
    <t>comment</t>
  </si>
  <si>
    <t>ARENDAL</t>
  </si>
  <si>
    <t>DEMAR</t>
  </si>
  <si>
    <t>PERMADUCTO</t>
  </si>
  <si>
    <t>ESEASA</t>
  </si>
  <si>
    <t>SIGMA / SARREAL</t>
  </si>
  <si>
    <t>COCOMEX</t>
  </si>
  <si>
    <t>AEME</t>
  </si>
  <si>
    <t>TURBOMAQUINARIA</t>
  </si>
  <si>
    <t>NUVOIL</t>
  </si>
  <si>
    <t>DIAVAZ</t>
  </si>
  <si>
    <t>ÁGUILA</t>
  </si>
  <si>
    <t>U.S.A. TECHNOLOGIES</t>
  </si>
  <si>
    <t>SARREAL</t>
  </si>
  <si>
    <t>TERMOTECNICA</t>
  </si>
  <si>
    <t>Sea Oilfield</t>
  </si>
  <si>
    <t>SCHLUMBERGER</t>
  </si>
  <si>
    <t>PERMADUCTO/SIPCO/PPR</t>
  </si>
  <si>
    <t>INDHECA</t>
  </si>
  <si>
    <t>Nuvoil</t>
  </si>
  <si>
    <t>ARDICA</t>
  </si>
  <si>
    <t>COBSA</t>
  </si>
  <si>
    <t>CALCO</t>
  </si>
  <si>
    <t>ELVIC</t>
  </si>
  <si>
    <t>MAYURSE</t>
  </si>
  <si>
    <t>SERCONTER</t>
  </si>
  <si>
    <t>BICENTERARIO</t>
  </si>
  <si>
    <t>Ingeniería, Procura, Construcción de un Gasoducto de 8”Ø x 8.2 km de PP-Akal-B-1 hacia PP-Ek-A; By Pass submarino de 20”Ø x 0.2 km.</t>
  </si>
  <si>
    <t>GSD de BN 16”Ø x 20 Km Yaxché-A hacia Tlacame-A</t>
  </si>
  <si>
    <t>OGD de 20”Ø x 8.8 Km Mulach-A hacia Interc. Subm. con OGD Tlacame-A / Xanab-C</t>
  </si>
  <si>
    <t>GSD de BN 16”Ø x 0.5 Km Interc. Subm. con OGD de 16” Tlacame-A hacia Mulach-A</t>
  </si>
  <si>
    <t>OGD de 16”Ø x 6.8 Km de la plataforma Xanab-201 hacia la plataforma Xanab-D</t>
  </si>
  <si>
    <t>Plataforma Recuperadora de Pozos tipo Típode Xanab-201</t>
  </si>
  <si>
    <t>Plataforma de Inyección de Agua de Mar Yaxche-AI</t>
  </si>
  <si>
    <t>EMDR-1-POKCHE-NE</t>
  </si>
  <si>
    <t>EMDR-2 TENTOK</t>
  </si>
  <si>
    <t>EMTR-1 ( EX TENTOK)</t>
  </si>
  <si>
    <t>EMTR-2 MACUIL</t>
  </si>
  <si>
    <t>EMTR-3 ATOYATL</t>
  </si>
  <si>
    <t>EMTR-4 OGHACHI</t>
  </si>
  <si>
    <t>OT-01 Construcción de Gasoducto 24”Ø x 14.1 km de BS Ixachi a EMC Papán</t>
  </si>
  <si>
    <t xml:space="preserve">Ingeniería, procura, construcción y puesta en operación de obra electromecánica en la Bateria de Separación Tecominoacán (Segunda Etapa) </t>
  </si>
  <si>
    <t>OT-02 Oleogasoducto de 20” Ø x 16 km TUM-1 a CPG Matapionche.</t>
  </si>
  <si>
    <t>OT-03 Gasoducto de 16"Ø x 13.2 km de Tupilco I - Los Sapos.</t>
  </si>
  <si>
    <t>Sistema de Endulzamiento y Compresion de Gas en TMDB</t>
  </si>
  <si>
    <t>Batería de Separación Rabasa, Segunda Etapa</t>
  </si>
  <si>
    <t>Servicio Integral de Acondicionamiento de Gas Húmedo Amargo del Campo Ixachi EMC Papan</t>
  </si>
  <si>
    <t>OEM en las Plataformas Marinas Teca-A para inyección de agua de mar a pozos.</t>
  </si>
  <si>
    <t>OEM en las Plataformas Marinas Tlacame-A para inyección de agua de mar a pozos.</t>
  </si>
  <si>
    <t>OEM en las Plataformas Marinas Mulach-A para inyección de agua de mar a pozos.</t>
  </si>
  <si>
    <t>OEM en las Plataformas Marinas Mulach-B para inyección de agua de mar a pozos.</t>
  </si>
  <si>
    <t>OEM en las Plataformas Marinas Tlamatini-A para inyección de agua de mar a pozos.</t>
  </si>
  <si>
    <t>OEM en las Plataformas Marinas Itta-A para inyección de agua de mar a pozos.</t>
  </si>
  <si>
    <t>OEM en las Plataformas Marinas Teekit-A para inyección de agua de mar a pozos.</t>
  </si>
  <si>
    <t>OEM en las Plataformas Marinas Cahua-A para inyección de agua de mar a pozos.</t>
  </si>
  <si>
    <t>OT-04 Oleogasoducto de 24” x 5.5 km de MP Ixachi 1DEL a B.S. Perdiz.</t>
  </si>
  <si>
    <t>OT-01 Paquete de Medición Compacto No. 1, Campo Ixachi, Pozo Mocarroca 1</t>
  </si>
  <si>
    <t>Cables Eléctricos Submarinos. Circuito Ayatsil-C  hacia UTSIL-A</t>
  </si>
  <si>
    <t>Cables Eléctricos Submarinos. Circuito CB-LIT-A hacia YAXCHE-AI</t>
  </si>
  <si>
    <t>Procura, Construcción, Prueba y Puesta en Operación de un Tanque de almacenamiento y obras complementarias en la Batería de Separación Perdiz.</t>
  </si>
  <si>
    <t>Ingeniería, Procura, Construcción y Puesta en Operación de Obra Electromecánica en la Batería de Separación Jujo (Segunda Etapa)</t>
  </si>
  <si>
    <t>OT-05 Oleogasoducto de 30"Ø x 5.2 km MP Quesqui-41 a Batería de separación Jujo (Tramo del Km. 16 +200 al Km. 21 +400)”.</t>
  </si>
  <si>
    <t>OT-02 Paquete de Medición Compacto No. 2, Campo Ixachi, Pozo Ixachi 30</t>
  </si>
  <si>
    <t>OT-03 Paquete de Medición Compacto No. 3, Campo Ixachi, Batería Perdiz/Ixachi</t>
  </si>
  <si>
    <t>OT-04 Paquete de Medición Compacto No. 4, Campo Quesqui, BS Tecominoacán</t>
  </si>
  <si>
    <t>OT-05 Paquete de Medición Compacto No. 5, Campo Tupilco, BS Tupilco</t>
  </si>
  <si>
    <t>OT-06 Paquete de Medición Compacto No. 6, Campo Valeriana, Pozo Valeriana 1</t>
  </si>
  <si>
    <t>OT-07 Paquete de Medición Compacto No. 7, Campo Ixachi, Pozo Perdiz 579</t>
  </si>
  <si>
    <t>OT-08 Paquete de Medición Compacto No. 8, Campo Ixachi, Pozo Ixachi 1DEL</t>
  </si>
  <si>
    <t>OT-09 Paquete de Medición Compacto No. 9, Campo Ixachi, Pozo Ixachi 34</t>
  </si>
  <si>
    <t>OT-10 Paquete de Medición Compacto No. 10, Campo Quesqui, Pozo Quesqui 4DEL</t>
  </si>
  <si>
    <t>OT-11 Paquete de Medición Compacto No. 11, Campo Ixachi, Pozo Ixachi 2001</t>
  </si>
  <si>
    <t>OT-12 Paquete de Medición Compacto No. 12, Campo Ixachi, Pozo Perdiz 509</t>
  </si>
  <si>
    <t>OT-13 Paquete de Medición Compacto No. 13, Campo Ixachi, Pozo Ixachi 44</t>
  </si>
  <si>
    <t>OT-14 Paquete de Medición Compacto No. 14, Campo Ixachi, Pozo Ixachi 12</t>
  </si>
  <si>
    <t>OT-15 Paquete de Medición Compacto No. 15, Campo Ixachi, Pozo Perdiz 39</t>
  </si>
  <si>
    <t>OT-16 Paquete de Medición Compacto No. 16, Campo Ixachi, Pozo Perdiz 525</t>
  </si>
  <si>
    <t>Ingeniería, Procura, Fabricación, Construcción, Instalación, Interconexión, Pruebas y Puesta en operación del Gasoducto de 20” x 52 km de Batería de Separación Ixachi / Perdiz a C.P.G. Matapionche (Sección 1, de B.S. Ixachi / Perdiz a M.P. Huace).</t>
  </si>
  <si>
    <t>OT-06 OGD de 8"Ø x 5.738.098 km del Pozo Cibix-401 al cabezal de recolección Cibix-1</t>
  </si>
  <si>
    <t>Ingeniería, Procura, Fabricación, Construcción, Instalación, Interconexión, Pruebas y Puesta en operación del Gasoducto de 20” x 52 km de Batería de Separación Ixachi / Perdiz a C.P.G. Matapionche, (Sección 3 Equipos de Separación y Obra Electromecánica en E.R.G. Mecayucan, B.S. Matapionche y C.P.G. Matapionche)</t>
  </si>
  <si>
    <t xml:space="preserve">Ingeniería, Procura, Fabricación, Construcción, Instalación, Interconexión, Pruebas y Puesta en operación del Gasoducto de 20” x 52 km de Batería de Separación Ixachi / Perdiz a C.P.G. Matapionche (Sección 2, de M.P. Huace a B.S Matapionche). </t>
  </si>
  <si>
    <t>OT-07 OGD de 16” Ø de la MP Cibix 31 a Int. Oleogasoducto Cibix-32</t>
  </si>
  <si>
    <t>OT-08 OGD de 12” x 5.73 km del Pozo Cibix 401 al Cabezal de Recolección Cibix 1</t>
  </si>
  <si>
    <t>OT-09 OGD de 8” Ø x 2.1 km de la MP Platao-1EXP a Interconexión con OGD 16”Ø de TMDB a B.S. Cunduacan (1era. Etapa)</t>
  </si>
  <si>
    <t>OT-06 Oleogasoducto de 30"Ø x 1.6 km de la MP Ixachi-30 a la MP Ixachi 34 (primera etapa)</t>
  </si>
  <si>
    <t>Servicio Integral de Inyección de Agua para Campos Estratégicos</t>
  </si>
  <si>
    <t>Construcción de camino de acceso, Localización de perforación y presa de quema para el pozo exploratorio NICHTE 1</t>
  </si>
  <si>
    <t>OT-07 OGD de 30” x 22 km MP Cibix-1 a BS Oxiacaque (Tramo 2, km 7+333 – 14+666)</t>
  </si>
  <si>
    <t>OT-11 Construcción de oleogasoducto de 30” ø x 22 kms. de la macropera cibix 1 a batería de separación oxiacaque (tramo 1 del km. 0+000 al km. 7+333 aproximadamente)</t>
  </si>
  <si>
    <t>Construcción de la Plataforma de Perforación tipo Estructura Ligera Marina Genérica, Prospecto P-8 AKAL-NW</t>
  </si>
  <si>
    <t>Construcción de las Plataformas de Perforación tipo Estructura Ligera Marina Genéricas, Prospecto P-1.</t>
  </si>
  <si>
    <t>Construcción de las Plataformas de Perforación tipo Estructura Ligera Marina Genéricas, Prospecto P-2.</t>
  </si>
  <si>
    <t>Construcción de la Plataforma de Perforación tipo Estructura Ligera Marina Genérica, Prospecto P-7</t>
  </si>
  <si>
    <t>Oleogasoducto de 20” x 6.3 KM de EMDR Pokche-NE-A a Xanab-B</t>
  </si>
  <si>
    <t>Oleogasoducto de 20” x 30 KM de EMTR Atoyatl-A a Cahua-A</t>
  </si>
  <si>
    <t>Oleogasoducto de 20” x 47.5 KM de EMTR Tentok-A a Kab-C</t>
  </si>
  <si>
    <t>Oleogasoducto 20" x 0.25 km de Akal NW a H.T.</t>
  </si>
  <si>
    <t>Trabajos de acondicionamiento de camino de acceso al pozo Macavil 1exp del km 5 a la colonia Guadalupe Victoria (Primera Etapa</t>
  </si>
  <si>
    <t xml:space="preserve">OT-36 Ingeniería, Procura y Construcción de la Localización Xinich-2 para perforar los Pozos Xinich-2 y Xinich-3 </t>
  </si>
  <si>
    <t>OT-08 Construcción de Amarre definitivo de Pozos, incluye: Plataforma de Operación de Válvulas y Cerco Perimetral</t>
  </si>
  <si>
    <t>OT-09 Oleogasoducto de 20”Ø X 2 KM MP Ixachi 12 a ducto de MP Ixachi 1001</t>
  </si>
  <si>
    <t>Compresión de Gas Húmedo Amargo en la ECO Paredón para Implementación de la Reducción de Contrapresión al Campo Quesqui (Fase 1).</t>
  </si>
  <si>
    <t>Compresión de Gas Húmedo Amargo en la ECO Paredón para Implementación de la Reducción de Contrapresión al Campo Quesqui (Fase 2).</t>
  </si>
  <si>
    <t>OT- 22 Rehabilitación de camino de acceso al cruce direccional número 02 de gasoducto de 16” batería Tupilco 1 a la trampa los sapos en la RA. Belisario Domínguez.</t>
  </si>
  <si>
    <t>OT-10 OGD 30"Ø X 4.4 KM. De la MP Ixachi 34 a MP Perdiz 35. (segunda etapa)</t>
  </si>
  <si>
    <t>Construcción de Camino de Acceso y Localización del Pozo Pitzi-1EXP</t>
  </si>
  <si>
    <t>Ingeniería, Procura y Construcción de Ductos Región Norte y Sur (Contrato 3)</t>
  </si>
  <si>
    <t>Oleogasoducto de 30" Ø X 3.7 km de la MP Ixachi 1001 a la Int. con Ogd Perdiz 35</t>
  </si>
  <si>
    <t>OT-43 Desarrollo de Ingeniería, Procura y Construcción de camino de acceso, Pera para la perforación de la Localización Bakte-6</t>
  </si>
  <si>
    <t>OT-44 Integración de trabajos de acondicionamiento de terrenos en Dos Bocas en el Patio El Mico"</t>
  </si>
  <si>
    <t>OT-63 Ampliación de la localización Tupilco-153, cimentación adicional para los Tupilco-3013, Tuplico-3023 y Tupilco 3031, incluye línea en pera y obras complementarias.</t>
  </si>
  <si>
    <t>OT-01 Interconexión en Cabezal AT Tokal B.S. Tupilco Profundo</t>
  </si>
  <si>
    <t>OT-02 Amarre definitivo del Pozo Quesqui 417</t>
  </si>
  <si>
    <t>OT-03 Amarres definitivos de los pozos Cibix 3, 32, 35, 36, 37, 38, 39 y 40</t>
  </si>
  <si>
    <t>OT-01 Oleogasoducto de 8”Ø x 12.3 Km de pozo Bakte-1 a BS Agave</t>
  </si>
  <si>
    <t>OT-02 Oleogasoducto de 20”Ø x 12.3 Km de pozo Bakte-1 a BS Agave</t>
  </si>
  <si>
    <t>OT-01 Oleogasoducto de 20" Ø x 5.00 km de cabezal Ayapa a Interconexión con OGD 30" Ø x 22 km MP Cibix 1 a BS Oxiacaque</t>
  </si>
  <si>
    <t>OT-01 Oleogasoducto de 20" Ø X 6.00 Km de MP Platao 1 a Interconexión con Cabezal de Pozos Tokal</t>
  </si>
  <si>
    <t>OT-16 Pavimento Asfáltico Ixachi-1DEL-La Barahúnda-Entronque Autopista Cosamaloapan-Km. 48.</t>
  </si>
  <si>
    <t>Oleogasoducto de 30”Ø x 2.3 km de la MP Perdiz 35 a la BS Perdiz</t>
  </si>
  <si>
    <t>OT-844-02-Pokche_NE.  “OEM, Amarre de Pozos, pruebas y puesta en operación de EMDR-1 Pokche-NE.”</t>
  </si>
  <si>
    <t>OT-06 Amarres definitivos de los pozos Platao 2, 3 y 4</t>
  </si>
  <si>
    <t xml:space="preserve"> OT-65 Terminación de la Infraestructura Superficial para la Perforación del Pozo de la Localización Exploratoria Pitzi-1EXP".</t>
  </si>
  <si>
    <t>OT-844-04-Tekel-A2. “Inspección y pruebas de elementos estructurales de  PP-Tekel-A”.</t>
  </si>
  <si>
    <t>OT-844-05-HA-LIT-A2. “Inspección y pruebas de elementos estructurales de  HA-LIT-A2”</t>
  </si>
  <si>
    <t>OT-46 Habilitación de carril de desaceleración/aceleración, obras complementarias y señalética</t>
  </si>
  <si>
    <t>OT - SN Construcción de la infraestructura superficial para la perforación del pozo de la localización Exploratoria Nichte-1EXP y Obras Complementarias</t>
  </si>
  <si>
    <t>OT-844-06-Helipuerto Atoyatl-A.  “Trabajos para la Instalacion de Helipuerto de la EMTR-3 Atoyatl-A.”</t>
  </si>
  <si>
    <t>OT-03 Construcción del Amarre Definitivo del pozo Tupilco 3012 y Tupilco 3015 Macropera Tupilco-84, incluyendo: Suministro, montaje y desmontaje de andamios temporales (tres secciones) para operación de válvulas, plataforma de operación de válvulas portachokes y cerco perimetral.</t>
  </si>
  <si>
    <t>OT-04 Construcción del Amarre Definitivo del Pozo Racemosa-5 en la Macropera Racemosa-1, incluye: Plataforma de operación de válvulas y cerca perimetral.</t>
  </si>
  <si>
    <t>OT-05 Construcción del Amarre Definitivo del Pozo Valeriana-3 en la Macropera Valeriana-1, incluye: Plataforma de operación de válvulas y cerca perimetral.</t>
  </si>
  <si>
    <t>OT-02Construcción de los amarres definitivos de pozos Ixachi 53 y 54 de la MP Perdiz 509, pozo Ixachi 7 de la MP 1001,  pozo Ixachi 32 en la MP Ixahi 30, y pozo Ixachi 60 en la MP Ixachi 34 con válvulas 900#, incluye: suministro, montaje y desmontaje de andamios temporales para operación de válvulas y cero perimetral.</t>
  </si>
  <si>
    <t>OT-05 Construcción del Oleogasoducto de 20” Ø x 1.5 Km de la Macropera Perdiz 1 a la BS Perdiz</t>
  </si>
  <si>
    <t>OT-22 Construcción de la Localización Bakte-14 para la Perforación del Pozo Bakte-14 y 3 Pozos Futuros.</t>
  </si>
  <si>
    <t>OT-07 Construcción de acometida de media trampa de recibo de diablos en área de trampas Cibix-1.</t>
  </si>
  <si>
    <t>OT -SN Construcción de la localización Bakte-10 para la perforación del pozo Bakte-10 y 3 pozos futuros”</t>
  </si>
  <si>
    <t>OT-844-07-Atoyatl-A.  “OEM, Amarre de Pozos, pruebas y puesta en operación de EMTR Atoyatl-A.”</t>
  </si>
  <si>
    <t>Ingeniería, Procura y Construcción de Caminos y Peras Terrestres de PEP (Sur y Norte) Contrato 1 (NORTE</t>
  </si>
  <si>
    <t>Ingeniería, Construcción, Adecuación, Instalación, Interconexión, Pruebas y Arranque de Obras Estratégicas en Instalaciones de Pemex.</t>
  </si>
  <si>
    <t>OT- 06 Oleogasoducto  30”Ø x 7 km de MP Quesqui 3 a Quesqui 4</t>
  </si>
  <si>
    <t>OT-07 Oleogasoducto de 8” Ø x 26 km de MP Techiaktli 1 a MP Bakté 6</t>
  </si>
  <si>
    <t>OT-08 Oleogasoducto de 20” Ø x 26 km  de Techiaktli 1 a Bakté 6</t>
  </si>
  <si>
    <t>NO</t>
  </si>
  <si>
    <t>NULL</t>
  </si>
  <si>
    <t>Marina</t>
  </si>
  <si>
    <t>Terrestre</t>
  </si>
  <si>
    <t>Ejecucion</t>
  </si>
  <si>
    <t>Ducto Terrestre</t>
  </si>
  <si>
    <t>Ducto Marino</t>
  </si>
  <si>
    <t>Plataforma</t>
  </si>
  <si>
    <t>Caminos</t>
  </si>
  <si>
    <t>Pera</t>
  </si>
  <si>
    <t>OEM</t>
  </si>
  <si>
    <t>Amarre de Pozo</t>
  </si>
  <si>
    <t>Cables Submarinos</t>
  </si>
  <si>
    <t>Construcción de Gasoducto 24”Ø x 14.1 km de BS Ixachi a EMC Papán</t>
  </si>
  <si>
    <t>Oleogasoducto de 20” Ø x 16 km TUM-1 a CPG Matapionche.</t>
  </si>
  <si>
    <t>Gasoducto de 16"Ø x 13.2 km de Tupilco I - Los Sapos.</t>
  </si>
  <si>
    <t>Oleogasoducto de 24” x 5.5 km de MP Ixachi 1DEL a B.S. Perdiz.</t>
  </si>
  <si>
    <t>Oleogasoducto de 30"Ø x 5.2 km MP Quesqui-41 a Batería de separación Jujo (Tramo del Km. 16 +200 al Km. 21 +400)”.</t>
  </si>
  <si>
    <t>Oleogasoducto de 30"Ø x 1.6 km de la MP Ixachi-30 a la MP Ixachi 34 (primera etapa)</t>
  </si>
  <si>
    <t>OGD de 30” x 22 km MP Cibix-1 a BS Oxiacaque (Tramo 2, km 7+333 – 14+666)</t>
  </si>
  <si>
    <t>Construcción de Amarre definitivo de Pozos, incluye: Plataforma de Operación de Válvulas y Cerco Perimetral</t>
  </si>
  <si>
    <t>Oleogasoducto de 20”Ø X 2 KM MP Ixachi 12 a ducto de MP Ixachi 1001</t>
  </si>
  <si>
    <t>OGD 30"Ø X 4.4 KM. De la MP Ixachi 34 a MP Perdiz 35. (segunda etapa)</t>
  </si>
  <si>
    <t>Paquete de Medición Compacto No. 1, Campo Ixachi, Pozo Mocarroca 1</t>
  </si>
  <si>
    <t>Paquete de Medición Compacto No. 2, Campo Ixachi, Pozo Ixachi 30</t>
  </si>
  <si>
    <t>Paquete de Medición Compacto No. 3, Campo Ixachi, Batería Perdiz/Ixachi</t>
  </si>
  <si>
    <t>Paquete de Medición Compacto No. 4, Campo Quesqui, BS Tecominoacán</t>
  </si>
  <si>
    <t>Paquete de Medición Compacto No. 5, Campo Tupilco, BS Tupilco</t>
  </si>
  <si>
    <t>Paquete de Medición Compacto No. 6, Campo Valeriana, Pozo Valeriana 1</t>
  </si>
  <si>
    <t>Paquete de Medición Compacto No. 7, Campo Ixachi, Pozo Perdiz 579</t>
  </si>
  <si>
    <t>Paquete de Medición Compacto No. 8, Campo Ixachi, Pozo Ixachi 1DEL</t>
  </si>
  <si>
    <t>Paquete de Medición Compacto No. 9, Campo Ixachi, Pozo Ixachi 34</t>
  </si>
  <si>
    <t>Paquete de Medición Compacto No. 10, Campo Quesqui, Pozo Quesqui 4DEL</t>
  </si>
  <si>
    <t>Paquete de Medición Compacto No. 11, Campo Ixachi, Pozo Ixachi 2001</t>
  </si>
  <si>
    <t>Paquete de Medición Compacto No. 12, Campo Ixachi, Pozo Perdiz 509</t>
  </si>
  <si>
    <t>Paquete de Medición Compacto No. 13, Campo Ixachi, Pozo Ixachi 44</t>
  </si>
  <si>
    <t>Paquete de Medición Compacto No. 14, Campo Ixachi, Pozo Ixachi 12</t>
  </si>
  <si>
    <t>Paquete de Medición Compacto No. 15, Campo Ixachi, Pozo Perdiz 39</t>
  </si>
  <si>
    <t>Paquete de Medición Compacto No. 16, Campo Ixachi, Pozo Perdiz 525</t>
  </si>
  <si>
    <t>Desarrollo de IPC de la infraestructura superficial para la perforación del pozo de la localización Exploratoria Kasen-1EXP</t>
  </si>
  <si>
    <t>Ampliación en la localización Techiaktli-1 para la instalación del equipo de perforación GW-907 en el pozo Techiaktli-2</t>
  </si>
  <si>
    <t xml:space="preserve">Relleno y compactación de fosa de quema en la localización los Soldados-1001EXP </t>
  </si>
  <si>
    <t>Desarrollo de Ingeniería y Construcción de Oleogasoducto de 16”Ø x 10.34 Km de la Macropera Racemosa-1 a la Batería de Separación Sen</t>
  </si>
  <si>
    <t>Gasoducto de 16"Ø x 10.4 km de Rabasa - Saladino.</t>
  </si>
  <si>
    <t>OGD de 8"Ø x 5.738.098 km del Pozo Cibix-401 al cabezal de recolección Cibix-1</t>
  </si>
  <si>
    <t>OGD de 16” Ø de la MP Cibix 31 a Int. Oleogasoducto Cibix-32</t>
  </si>
  <si>
    <t>OGD de 12” x 5.73 km del Pozo Cibix 401 al Cabezal de Recolección Cibix 1</t>
  </si>
  <si>
    <t>OGD de 8” Ø x 2.1 km de la MP Platao-1EXP a Interconexión con OGD 16”Ø de TMDB a B.S. Cunduacan (1era. Etapa)</t>
  </si>
  <si>
    <t>Desarrollo de ingeniería, procura y construcción de un ducto de 8” ø x 13 km de Actul-1 hacia la B.S. Soldados.</t>
  </si>
  <si>
    <t>Construcción de oleogasoducto de 30” ø x 22 kms. de la macropera cibix 1 a batería de separación oxiacaque (tramo 1 del km. 0+000 al km. 7+333 aproximadamente)</t>
  </si>
  <si>
    <t>Ingeniería, Procura y Construcción de la Localización Xinich-2 para perforar los Pozos Xinich-2 y Xinich-3</t>
  </si>
  <si>
    <t>Ingeniería, Procura y Construcción de camino de acceso, pera y presa de quema para la perforación de pozos en la Localización Techiaktli-4</t>
  </si>
  <si>
    <t>Construcción de la ampliación de la localización sitio grande 7 para la perforación del pozo exploratorio SITIO GRANDE-2001SON</t>
  </si>
  <si>
    <t>Ingeniería, Procura y Construcción de la ampliación de la Localización Bakte-1-EXP</t>
  </si>
  <si>
    <t>Rehabilitación de camino de acceso al cruce direccional número 02 de gasoducto de 16” batería Tupilco 1 a la trampa los sapos en la RA. Belisario Domínguez.</t>
  </si>
  <si>
    <t>Desarrollo de Ingeniería, Procura y Construcción de camino de acceso, Pera para la perforación de la Localización Bakte-6</t>
  </si>
  <si>
    <t>Integración de trabajos de acondicionamiento de terrenos en Dos Bocas en el Patio El Mico"</t>
  </si>
  <si>
    <t>Ampliación de la localización Tupilco-153, cimentación adicional para los Tupilco-3013, Tuplico-3023 y Tupilco 3031, incluye línea en pera y obras complementarias.</t>
  </si>
  <si>
    <t>Interconexión en Cabezal AT Tokal B.S. Tupilco Profundo</t>
  </si>
  <si>
    <t>Amarre definitivo del Pozo Quesqui 417</t>
  </si>
  <si>
    <t>Amarres definitivos de los pozos Cibix 3, 32, 35, 36, 37, 38, 39 y 40</t>
  </si>
  <si>
    <t>Oleogasoducto de 8”Ø x 12.3 Km de pozo Bakte-1 a BS Agave</t>
  </si>
  <si>
    <t>Oleogasoducto de 20”Ø x 12.3 Km de pozo Bakte-1 a BS Agave</t>
  </si>
  <si>
    <t>Oleogasoducto de 20" Ø x 5.00 km de cabezal Ayapa a Interconexión con OGD 30" Ø x 22 km MP Cibix 1 a BS Oxiacaque</t>
  </si>
  <si>
    <t>Oleogasoducto de 20" Ø X 6.00 Km de MP Platao 1 a Interconexión con Cabezal de Pozos Tokal</t>
  </si>
  <si>
    <t>Desarrollo de ingeniería, Procura y Construcción de la Infraestructura Superficial para la Perforación del pozo de la Localización Exploratoria Santiago 101-EXP</t>
  </si>
  <si>
    <t>Pavimento Asfáltico Ixachi-1DEL-La Barahúnda-Entronque Autopista Cosamaloapan-Km. 48.</t>
  </si>
  <si>
    <t>Ampliación de la localización Perdiz-525 y obras complementarias para los pozos Ixachi-62</t>
  </si>
  <si>
    <t>Habilitación de Plataforma Terrestre para aterrizaje de Helicópteros en la Localización Chactulu-1.</t>
  </si>
  <si>
    <t>Construcción de la Infraestructura Superficial para la Perforación del Pozo de la Localización Exploratoria Krem-1EXP y Obras Complementarias.</t>
  </si>
  <si>
    <t>OEM, Amarre de Pozos, pruebas y puesta en operación de EMDR-1 Pokche-NE.</t>
  </si>
  <si>
    <t>Amarres definitivos de los pozos Platao 2, 3 y 4</t>
  </si>
  <si>
    <t>Terminación de la Infraestructura Superficial para la Perforación del Pozo de la Localización Exploratoria Pitzi-1EXP".</t>
  </si>
  <si>
    <t>Inspección y pruebas de elementos estructurales de  PP-Tekel-A.</t>
  </si>
  <si>
    <t>Inspección y pruebas de elementos estructurales de  HA-LIT-A2</t>
  </si>
  <si>
    <t>Habilitación de Plataforma Terrestre para aterrizaje de Helicópteros en la Localización Bakte-1.</t>
  </si>
  <si>
    <t>Habilitación de plataforma Terrestre para aterrizaje de helicóptero de la localización Sitio Grande 2001 SON</t>
  </si>
  <si>
    <t>Habilitación de carril de desaceleración/aceleración, obras complementarias y señalética</t>
  </si>
  <si>
    <t>GSD 24”Ø x 14.1 km de BS Ixachi a EMC Papán</t>
  </si>
  <si>
    <t>OGD 20” Ø x 16 km TUM-1 a CPG Matapionche.</t>
  </si>
  <si>
    <t>GSD 16"Ø x 13.2 km de Tupilco I - Los Sapos.</t>
  </si>
  <si>
    <t>OGD 24” x 5.5 km de MP Ixachi 1DEL a B.S. Perdiz.</t>
  </si>
  <si>
    <t>OGD 30"Ø x 5.2 km MP Quesqui-41 a B.S. Jujo</t>
  </si>
  <si>
    <t>OGD 30"Ø x 1.6 km de  MP Ixachi-30 a la MP Ixachi 34 (primera etapa)</t>
  </si>
  <si>
    <t>OGD 30” x 22 km MP Cibix-1 a BS Oxiacaque (Tramo 2)</t>
  </si>
  <si>
    <t>Amarre de Pozos definitivo en campo Ixachi</t>
  </si>
  <si>
    <t>OGD 20”Ø X 2 KM MP Ixachi 12 a ducto de MP Ixachi 1001</t>
  </si>
  <si>
    <t>OGD 30"Ø X 4.4 KM MP Ixachi 34 a MP Perdiz 35. (segunda etapa)</t>
  </si>
  <si>
    <t xml:space="preserve">IPC Tecominoacán (Segunda Etapa) </t>
  </si>
  <si>
    <t>Paquete de Medicion IXACHI Pozo Mocarroca 1</t>
  </si>
  <si>
    <t>Paquete de Medicion IXACHI Pozo Ixachi 30</t>
  </si>
  <si>
    <t>Paquete de Medicion IXACHI Batería Perdiz/Ixachi</t>
  </si>
  <si>
    <t>Paquete de Medicion Quesqui, BS Tecominoacán</t>
  </si>
  <si>
    <t>Paquete de Medicion Tupilco, BS Tupilco</t>
  </si>
  <si>
    <t>Paquete de Medicion Valeriana, Pozo Valeriana 1</t>
  </si>
  <si>
    <t>Paquete de Medicion Ixachi, Pozo Perdiz 579</t>
  </si>
  <si>
    <t>Paquete de Medicion Ixachi, Pozo Ixachi 1DEL</t>
  </si>
  <si>
    <t>Paquete de Medicion Ixachi, Pozo Ixachi 34</t>
  </si>
  <si>
    <t>Paquete de Medicion Quesqui, Pozo Quesqui 4DEL</t>
  </si>
  <si>
    <t>Paquete de Medicion Ixachi, Pozo Ixachi 2001</t>
  </si>
  <si>
    <t>Paquete de Medicion Ixachi, Pozo Perdiz 509</t>
  </si>
  <si>
    <t>Paquete de Medicion Ixachi, Pozo Ixachi 44</t>
  </si>
  <si>
    <t>Paquete de Medicion Ixachi, Pozo Ixachi 12</t>
  </si>
  <si>
    <t>Paquete de Medicion Ixachi, Pozo Perdiz 39</t>
  </si>
  <si>
    <t>Paquete de Medicion Ixachi, Pozo Perdiz 525</t>
  </si>
  <si>
    <t>IPC de la Infraestructura Localización Kasen-1EXP</t>
  </si>
  <si>
    <t>Ampliación en la localización Techiaktli-1</t>
  </si>
  <si>
    <t xml:space="preserve">Relleno y compactación de fosa de quema en los Soldados-1001EXP </t>
  </si>
  <si>
    <t>IPC en GSD 8" Ø X 8.2 km de PP-Akal-B-1</t>
  </si>
  <si>
    <t>OGD de 16"Ø x 10.34 Km de la MP Racemosa-1 a la BS Sen</t>
  </si>
  <si>
    <t>GSD de 16"Ø x 10.4 km de Rabasa - Saladino.</t>
  </si>
  <si>
    <t>BS Rabasa, Segunda Etapa</t>
  </si>
  <si>
    <t>Construcción de un Tanque de almacenamiento y obras comp. en la BS Perdiz.</t>
  </si>
  <si>
    <t>IPC y Puesta en Operación de OEM en la BS Jujo (Segunda Etapa)</t>
  </si>
  <si>
    <t>GSD de 20" x 52 km de BS Ixachi / Perdiz a C.P.G. Matapionche</t>
  </si>
  <si>
    <t>OGD de 8"Ø x 5.738.098 km del Pozo Cibix-401</t>
  </si>
  <si>
    <t>OGD de 16" Ø de la MP Cibix 31 a Int. OGD Cibix-32</t>
  </si>
  <si>
    <t>OGD de 12" x 5.73 km del Pozo Cibix 401 al Cabezal de Recolección Cibix 1</t>
  </si>
  <si>
    <t>OGD de 8" Ø x 2.1 km de la MP Platao-1EXP a Interconexión con OGD 16"Ø de TMDB a B.S. Cunduacan (1era. Etapa)</t>
  </si>
  <si>
    <t>de IPC de un ducto de 8" x 13 km de Actul-1 hacia la B.S. Soldados.</t>
  </si>
  <si>
    <t>OGD de 30" x 22 kms. de la MP cibix 1 a BS oxiacaque (tramo 1)</t>
  </si>
  <si>
    <t>Construcción de la Plataforma de Perforación tipo ELMG, Prospecto P-8 AKAL-NW</t>
  </si>
  <si>
    <t>Construcción de las Plataformas de Perforación tipo ELMG, Prospecto P-1.</t>
  </si>
  <si>
    <t>Construcción de las Plataformas de Perforación tipo ELMG, Prospecto P-2.</t>
  </si>
  <si>
    <t>OGD de 20" x 6.3 KM de EMDR Pokche-NE-A a Xanab-B</t>
  </si>
  <si>
    <t>OGD de 20" x 30 KM de EMTR Atoyatl-A a Cahua-A</t>
  </si>
  <si>
    <t>OGD de 20" x 47.5 KM de EMTR Tentok-A a Kab-C</t>
  </si>
  <si>
    <t>OGD 20" x 0.25 km de Akal NW a H.T.</t>
  </si>
  <si>
    <t>Acondicionamiento de camino de acceso al pozo Macavil 1exp del km 5</t>
  </si>
  <si>
    <t>IPC de la Localización Xinich-2 para perforar los Pozos Xinich-2 y Xinich-3</t>
  </si>
  <si>
    <t>IPC de camino de acceso, pera y presa de quema para la perforación de pozos en Techiaktli-4</t>
  </si>
  <si>
    <t>Construcción de la ampl. de sitio grande 7 para la perf. del pozo SITIO GRANDE-2001SON</t>
  </si>
  <si>
    <t>Compresión de Gas Húmedo Amargo de la Reducción de Contrapresión Quesqui (Fase 1).</t>
  </si>
  <si>
    <t>IPC de la ampl. de la Localización Bakte-1-EXP</t>
  </si>
  <si>
    <t>Compresión de Gas Húmedo Amargo de la Reducción de Contrapresión Quesqui (Fase 2).</t>
  </si>
  <si>
    <t>Rehab. de camino batería Tupilco 1 a la trampa los sapos.</t>
  </si>
  <si>
    <t>Construcción de Camino de Acceso y Localización de Pitzi-1EXP</t>
  </si>
  <si>
    <t>IPC de Ductos Región Norte y Sur (Contrato 3)</t>
  </si>
  <si>
    <t>OGD de 30" Ø X 3.7 km de la MP Ixachi 1001 a la Int. con Ogd Perdiz 35</t>
  </si>
  <si>
    <t>IPC de camino de acceso, Pera para la perforación de Bakte-6</t>
  </si>
  <si>
    <t>Int. de trabajos de acondicionamiento de terrenos en Dos Bocas en el Patio El Mico"</t>
  </si>
  <si>
    <t>ampl. de localización Tupilco-153, cimentación adicional para Tupilco-3013, Tuplico-3023 y Tupilco 3031</t>
  </si>
  <si>
    <t>Inter. en Cabezal AT Tokal B.S. Tupilco Profundo</t>
  </si>
  <si>
    <t>OGD de 8"Ø x 12.3 Km de pozo Bakte-1 a BS Agave</t>
  </si>
  <si>
    <t>OGD de 20"Ø x 12.3 Km de pozo Bakte-1 a BS Agave</t>
  </si>
  <si>
    <t>OGD de 20" Ø x 5.00 km de cabezal Ayapa a Inter. con OGD 30" Ø x 22 km MP Cibix 1 a BS Oxiacaque</t>
  </si>
  <si>
    <t>OGD de 20" Ø X 6.00 Km de MP Platao 1 a Inter. con Cabezal de Pozos Tokal</t>
  </si>
  <si>
    <t>Construcción de los amarres definitivos de pozos Ixachi 6, 53 y 54 de la MP Perdiz 509, pozo Ixachi 7 de la MP 1001, pozo Ixachi 26 en la MP Ixachi 1DEL, pozo Ixachi 32 en la MP Ixahi 30, y pozo Ixachi 60 en la MP Ixachi 34.</t>
  </si>
  <si>
    <t>IPC de la infra. Superficial para la Perforación del pozo de la Localización Exploratoria Santiago 101-EXP</t>
  </si>
  <si>
    <t>ampl. de Perdiz-525 y Obras comp. para Ixachi-62</t>
  </si>
  <si>
    <t>OGD de 30"Ø x 2.3 km de la MP Perdiz 35 a la BS Perdiz</t>
  </si>
  <si>
    <t>Habilitación de Plataforma Terrestre para aterrizaje de Helicópteros en Chactulu-1.</t>
  </si>
  <si>
    <t>Const. de la infra. Superficial para la Perf. del Pozo de Exploratoria Krem-1EXP</t>
  </si>
  <si>
    <t>Terminación de la infra. Superficial para la Perforación del Pozo de la Localización Exploratoria Pitzi-1EXP".</t>
  </si>
  <si>
    <t>Insp. y pruebas de elementos estruc. de  PP-Tekel-A.</t>
  </si>
  <si>
    <t>Insp. y pruebas de elementos estruc. de  HA-LIT-A2</t>
  </si>
  <si>
    <t>Habilitación de Plataforma Terrestre para aterrizaje de Helicópteros en Bakte-1.</t>
  </si>
  <si>
    <t>Hab. de plataforma Terrestre para aterrizaje de helicóptero de Sitio Grande 2001 SON</t>
  </si>
  <si>
    <t>Hab. de carril de desaceleración/aceleración, obras comp. y señalética</t>
  </si>
  <si>
    <t>corto</t>
  </si>
  <si>
    <t>OT-02</t>
  </si>
  <si>
    <t>OT-03</t>
  </si>
  <si>
    <t>OT-04</t>
  </si>
  <si>
    <t>OT-01</t>
  </si>
  <si>
    <t>OT-05</t>
  </si>
  <si>
    <t>OT-844</t>
  </si>
  <si>
    <t>GSD de 20"Ø x 52 km de BS Ixachi / Perdiz a C.P.G. Matapionche (Seccion 3)</t>
  </si>
  <si>
    <t>GSD de 20"Ø x 52 km de BS Ixachi / Perdiz a C.P.G. Matapionche (Seccion 2)</t>
  </si>
  <si>
    <t>Construcción de la infraestructura superficial para la perforación del pozo de la localización Exploratoria Nichte-1EXP y Obras Complementarias</t>
  </si>
  <si>
    <t>Trabajos para la Instalacion de Helipuerto de la EMTR-3 Atoyatl-A.</t>
  </si>
  <si>
    <t>OT-844-06</t>
  </si>
  <si>
    <t>Construcción del Amarre Definitivo del pozo Tupilco 3012 y Tupilco 3015 Macropera Tupilco-84, incluyendo: Suministro, montaje y desmontaje de andamios temporales (tres secciones) para operación de válvulas, plataforma de operación de válvulas portachokes y cerco perimetral.</t>
  </si>
  <si>
    <t>Construcción del Amarre Definitivo del Pozo Racemosa-5 en la Macropera Racemosa-1, incluye: Plataforma de operación de válvulas y cerca perimetral.</t>
  </si>
  <si>
    <t>Construcción del Amarre Definitivo del Pozo Valeriana-3 en la Macropera Valeriana-1, incluye: Plataforma de operación de válvulas y cerca perimetral.</t>
  </si>
  <si>
    <t>Construcción de los amarres definitivos de pozos Ixachi 53 y 54 de la MP Perdiz 509, pozo Ixachi 7 de la MP 1001,  pozo Ixachi 32 en la MP Ixahi 30, y pozo Ixachi 60 en la MP Ixachi 34 con válvulas 900#, incluye: suministro, montaje y desmontaje de andamios temporales para operación de válvulas y cero perimetral.</t>
  </si>
  <si>
    <t>Construcción del Oleogasoducto de 20” Ø x 1.5 Km de la Macropera Perdiz 1 a la BS Perdiz</t>
  </si>
  <si>
    <t>Construcción de la Localización Bakte-14 para la Perforación del Pozo Bakte-14 y 3 Pozos Futuros.</t>
  </si>
  <si>
    <t>Construcción de acometida de media trampa de recibo de diablos en área de trampas Cibix-1.</t>
  </si>
  <si>
    <t>Construcción de la localización Bakte-10 para la perforación del pozo Bakte-10 y 3 pozos futuros”</t>
  </si>
  <si>
    <t>Construcción de la localización Bakte-10 para la perforación del pozo Bakte-10 y 3 pozos futuros</t>
  </si>
  <si>
    <t>OEM, Amarre de Pozos, pruebas y puesta en operación de EMTR Atoyatl-A.</t>
  </si>
  <si>
    <t>OT-844-07</t>
  </si>
  <si>
    <t>Oleogasoducto  30”Ø x 7 km de MP Quesqui 3 a Quesqui 4</t>
  </si>
  <si>
    <t>Oleogasoducto de 8” Ø x 26 km de MP Techiaktli 1 a MP Bakté 6</t>
  </si>
  <si>
    <t>Oleogasoducto de 20” Ø x 26 km  de Techiaktli 1 a Bakté 6</t>
  </si>
  <si>
    <t>OT-844-02</t>
  </si>
  <si>
    <t>OT-22</t>
  </si>
  <si>
    <t>S/N</t>
  </si>
  <si>
    <t>OT-06</t>
  </si>
  <si>
    <t>OT-07</t>
  </si>
  <si>
    <t>OT-08</t>
  </si>
  <si>
    <t>OT-09</t>
  </si>
  <si>
    <t>OT-10</t>
  </si>
  <si>
    <t>OT-11</t>
  </si>
  <si>
    <t>OT-12</t>
  </si>
  <si>
    <t>OT-13</t>
  </si>
  <si>
    <t>OT-14</t>
  </si>
  <si>
    <t>OT-15</t>
  </si>
  <si>
    <t>OT-16</t>
  </si>
  <si>
    <t>OT-36</t>
  </si>
  <si>
    <t>OT-43</t>
  </si>
  <si>
    <t>OT-44</t>
  </si>
  <si>
    <t>OT-63</t>
  </si>
  <si>
    <t>OT-65</t>
  </si>
  <si>
    <t>OT-46</t>
  </si>
  <si>
    <t>Construcción de la infraestructura superficial para la perforación del pozo Nichte-1EXP</t>
  </si>
  <si>
    <t>Construcción del Amarre Definitivo del pozo Tupilco 3012 y Tupilco 3015 Macropera Tupilco-84</t>
  </si>
  <si>
    <t>Construcción del Amarre Definitivo del Pozo Racemosa-5 en la Macropera Racemosa-1</t>
  </si>
  <si>
    <t>Construcción del Amarre Definitivo del Pozo Valeriana-3 en la Macropera Valeriana-1</t>
  </si>
  <si>
    <t>Ingeniería, Procura y Construcción de Caminos y Peras Terrestres de PEP (Sur y Norte) Contrato 1</t>
  </si>
  <si>
    <t>Patios</t>
  </si>
  <si>
    <t>Instalaciones</t>
  </si>
  <si>
    <t>Ductos Marinos</t>
  </si>
  <si>
    <t>Terrestres</t>
  </si>
  <si>
    <t>Obras Marinas</t>
  </si>
  <si>
    <t xml:space="preserve">Instalaciones </t>
  </si>
  <si>
    <t>Ductos Terrestre</t>
  </si>
  <si>
    <t>Obras Terrestres</t>
  </si>
  <si>
    <t>Ductos Terrestres</t>
  </si>
  <si>
    <t xml:space="preserve">Patios </t>
  </si>
  <si>
    <t>Consecutive</t>
  </si>
  <si>
    <t>Speciality</t>
  </si>
  <si>
    <t>Contract</t>
  </si>
  <si>
    <t>Contrato</t>
  </si>
  <si>
    <t>oilfield</t>
  </si>
  <si>
    <t>id_contract</t>
  </si>
  <si>
    <t>IXACHI</t>
  </si>
  <si>
    <t>PLATAU</t>
  </si>
  <si>
    <t>ACTUL</t>
  </si>
  <si>
    <t>IKLUM</t>
  </si>
  <si>
    <t>SIN CAMPO</t>
  </si>
  <si>
    <t>ATOYATL</t>
  </si>
  <si>
    <t>KASEN</t>
  </si>
  <si>
    <t>KUIL</t>
  </si>
  <si>
    <t>LOS SOLDADOS</t>
  </si>
  <si>
    <t>MACUIL</t>
  </si>
  <si>
    <t>QUESQUI</t>
  </si>
  <si>
    <t>TECHIAKTLI</t>
  </si>
  <si>
    <t>TECOMINOACAN</t>
  </si>
  <si>
    <t>TLACAME</t>
  </si>
  <si>
    <t>TUPILCO</t>
  </si>
  <si>
    <t>VALERIANA</t>
  </si>
  <si>
    <t>XANAB</t>
  </si>
  <si>
    <t>YAXCHE</t>
  </si>
  <si>
    <t>OGHACHI</t>
  </si>
  <si>
    <t>Compañias</t>
  </si>
  <si>
    <t>Yaxché</t>
  </si>
  <si>
    <t>Tlacame</t>
  </si>
  <si>
    <t>Ixachi</t>
  </si>
  <si>
    <t>Tupilco</t>
  </si>
  <si>
    <t>Quesqui</t>
  </si>
  <si>
    <t>Cibix</t>
  </si>
  <si>
    <t>Jujo</t>
  </si>
  <si>
    <t>Valeriana</t>
  </si>
  <si>
    <t>Kasen</t>
  </si>
  <si>
    <t>Techiaktli</t>
  </si>
  <si>
    <t>Los Soldados</t>
  </si>
  <si>
    <t>Cantarel</t>
  </si>
  <si>
    <t>Xanab</t>
  </si>
  <si>
    <t>Pokche</t>
  </si>
  <si>
    <t>Tentok</t>
  </si>
  <si>
    <t>Racemosa</t>
  </si>
  <si>
    <t>Rabasa</t>
  </si>
  <si>
    <t>N/A</t>
  </si>
  <si>
    <t>Teca</t>
  </si>
  <si>
    <t>Mulach</t>
  </si>
  <si>
    <t>Tlamatini</t>
  </si>
  <si>
    <t>Itta</t>
  </si>
  <si>
    <t>Teekit</t>
  </si>
  <si>
    <t>Chahua</t>
  </si>
  <si>
    <t>Utsil</t>
  </si>
  <si>
    <t>Perdiz</t>
  </si>
  <si>
    <t>Platao</t>
  </si>
  <si>
    <t>Actul</t>
  </si>
  <si>
    <t>Atoyatl</t>
  </si>
  <si>
    <t>Macavil</t>
  </si>
  <si>
    <t>Xinich</t>
  </si>
  <si>
    <t>Sitio Grande</t>
  </si>
  <si>
    <t>Bakte</t>
  </si>
  <si>
    <t>Pitzi</t>
  </si>
  <si>
    <t>TMDB</t>
  </si>
  <si>
    <t>Tokal</t>
  </si>
  <si>
    <t>Santiago</t>
  </si>
  <si>
    <t>Chactulu</t>
  </si>
  <si>
    <t>Krem</t>
  </si>
  <si>
    <t>Tekel</t>
  </si>
  <si>
    <t>Ha-Lit</t>
  </si>
  <si>
    <t>Chukox</t>
  </si>
  <si>
    <t>Campos</t>
  </si>
  <si>
    <t>Nichte</t>
  </si>
  <si>
    <t>YAXCHé</t>
  </si>
  <si>
    <t>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</si>
</sst>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B530-5C44-4343-A419-C52632A94496}">
  <dimension ref="A1:AE110"/>
  <sheetViews>
    <sheetView tabSelected="1" topLeftCell="A43" zoomScale="130" zoomScaleNormal="130" workbookViewId="0">
      <selection activeCell="E62" sqref="E62:AE110"/>
    </sheetView>
  </sheetViews>
  <sheetFormatPr baseColWidth="10" defaultRowHeight="15" x14ac:dyDescent="0.25"/>
  <cols>
    <col min="2" max="2" width="23.5703125" bestFit="1" customWidth="1"/>
    <col min="3" max="3" width="23.5703125" customWidth="1"/>
    <col min="4" max="4" width="2.140625" style="4" customWidth="1"/>
    <col min="6" max="6" width="14.140625" bestFit="1" customWidth="1"/>
    <col min="11" max="11" width="58.85546875" customWidth="1"/>
    <col min="15" max="15" width="68.5703125" customWidth="1"/>
    <col min="17" max="17" width="19.140625" bestFit="1" customWidth="1"/>
    <col min="30" max="30" width="19.42578125" customWidth="1"/>
  </cols>
  <sheetData>
    <row r="1" spans="1:31" s="4" customFormat="1" x14ac:dyDescent="0.25"/>
    <row r="2" spans="1:31" x14ac:dyDescent="0.25">
      <c r="A2" s="1" t="s">
        <v>391</v>
      </c>
      <c r="B2" s="1" t="s">
        <v>413</v>
      </c>
      <c r="C2" s="1" t="s">
        <v>456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</row>
    <row r="3" spans="1:31" x14ac:dyDescent="0.25">
      <c r="A3">
        <v>640852805</v>
      </c>
      <c r="B3" t="s">
        <v>27</v>
      </c>
      <c r="C3" t="s">
        <v>459</v>
      </c>
      <c r="E3">
        <v>1</v>
      </c>
      <c r="F3">
        <v>190</v>
      </c>
      <c r="G3" t="s">
        <v>355</v>
      </c>
      <c r="H3">
        <v>78</v>
      </c>
      <c r="I3" s="7">
        <v>20</v>
      </c>
      <c r="J3">
        <v>1</v>
      </c>
      <c r="K3" t="s">
        <v>276</v>
      </c>
      <c r="L3">
        <v>2024</v>
      </c>
      <c r="M3">
        <v>0</v>
      </c>
      <c r="N3">
        <v>0</v>
      </c>
      <c r="O3" t="s">
        <v>53</v>
      </c>
      <c r="P3">
        <v>1</v>
      </c>
      <c r="Q3" t="s">
        <v>168</v>
      </c>
      <c r="R3" t="s">
        <v>168</v>
      </c>
      <c r="S3" t="s">
        <v>168</v>
      </c>
      <c r="T3" t="s">
        <v>168</v>
      </c>
      <c r="U3" t="s">
        <v>169</v>
      </c>
      <c r="V3" t="s">
        <v>169</v>
      </c>
      <c r="W3" t="s">
        <v>169</v>
      </c>
      <c r="X3" s="5">
        <v>44637</v>
      </c>
      <c r="Y3" s="5"/>
      <c r="Z3" s="5">
        <v>45588</v>
      </c>
      <c r="AA3" s="5">
        <v>45596</v>
      </c>
      <c r="AB3" t="s">
        <v>170</v>
      </c>
      <c r="AC3" t="s">
        <v>172</v>
      </c>
      <c r="AD3" t="s">
        <v>174</v>
      </c>
      <c r="AE3" t="s">
        <v>169</v>
      </c>
    </row>
    <row r="4" spans="1:31" x14ac:dyDescent="0.25">
      <c r="A4">
        <v>640852806</v>
      </c>
      <c r="B4" t="s">
        <v>28</v>
      </c>
      <c r="C4" t="s">
        <v>414</v>
      </c>
      <c r="E4">
        <v>2</v>
      </c>
      <c r="F4">
        <v>201</v>
      </c>
      <c r="G4" t="s">
        <v>355</v>
      </c>
      <c r="H4">
        <v>79</v>
      </c>
      <c r="I4">
        <v>18</v>
      </c>
      <c r="J4">
        <v>1</v>
      </c>
      <c r="K4" t="s">
        <v>54</v>
      </c>
      <c r="L4">
        <v>2024</v>
      </c>
      <c r="M4">
        <v>0</v>
      </c>
      <c r="N4">
        <v>0</v>
      </c>
      <c r="O4" t="s">
        <v>54</v>
      </c>
      <c r="P4">
        <v>1</v>
      </c>
      <c r="Q4" t="s">
        <v>168</v>
      </c>
      <c r="R4" t="s">
        <v>168</v>
      </c>
      <c r="S4" t="s">
        <v>168</v>
      </c>
      <c r="T4" t="s">
        <v>168</v>
      </c>
      <c r="U4" t="s">
        <v>169</v>
      </c>
      <c r="V4" t="s">
        <v>169</v>
      </c>
      <c r="W4" t="s">
        <v>169</v>
      </c>
      <c r="X4" s="5">
        <v>44652</v>
      </c>
      <c r="Y4" s="5">
        <v>44891</v>
      </c>
      <c r="Z4" s="5">
        <v>45509</v>
      </c>
      <c r="AA4" s="5">
        <v>45534</v>
      </c>
      <c r="AB4" t="s">
        <v>170</v>
      </c>
      <c r="AC4" t="s">
        <v>172</v>
      </c>
      <c r="AD4" t="s">
        <v>174</v>
      </c>
      <c r="AE4" t="s">
        <v>169</v>
      </c>
    </row>
    <row r="5" spans="1:31" x14ac:dyDescent="0.25">
      <c r="A5">
        <v>640852806</v>
      </c>
      <c r="B5" t="s">
        <v>28</v>
      </c>
      <c r="C5" t="s">
        <v>415</v>
      </c>
      <c r="E5">
        <v>3</v>
      </c>
      <c r="F5">
        <v>202</v>
      </c>
      <c r="G5" t="s">
        <v>355</v>
      </c>
      <c r="H5">
        <v>79</v>
      </c>
      <c r="I5">
        <v>14</v>
      </c>
      <c r="J5">
        <v>1</v>
      </c>
      <c r="K5" t="s">
        <v>55</v>
      </c>
      <c r="L5">
        <v>2024</v>
      </c>
      <c r="M5">
        <v>0</v>
      </c>
      <c r="N5">
        <v>0</v>
      </c>
      <c r="O5" t="s">
        <v>55</v>
      </c>
      <c r="P5">
        <v>1</v>
      </c>
      <c r="Q5" t="s">
        <v>168</v>
      </c>
      <c r="R5" t="s">
        <v>168</v>
      </c>
      <c r="S5" t="s">
        <v>168</v>
      </c>
      <c r="T5" t="s">
        <v>168</v>
      </c>
      <c r="U5" t="s">
        <v>169</v>
      </c>
      <c r="V5" t="s">
        <v>169</v>
      </c>
      <c r="W5" t="s">
        <v>169</v>
      </c>
      <c r="X5" s="5">
        <v>44652</v>
      </c>
      <c r="Y5" s="5">
        <v>44871</v>
      </c>
      <c r="Z5" s="5">
        <v>44993</v>
      </c>
      <c r="AA5" s="5">
        <v>45534</v>
      </c>
      <c r="AB5" t="s">
        <v>170</v>
      </c>
      <c r="AC5" t="s">
        <v>172</v>
      </c>
      <c r="AD5" t="s">
        <v>174</v>
      </c>
      <c r="AE5" t="s">
        <v>169</v>
      </c>
    </row>
    <row r="6" spans="1:31" x14ac:dyDescent="0.25">
      <c r="A6">
        <v>640852806</v>
      </c>
      <c r="B6" t="s">
        <v>28</v>
      </c>
      <c r="C6" t="s">
        <v>415</v>
      </c>
      <c r="E6">
        <v>4</v>
      </c>
      <c r="F6">
        <v>203</v>
      </c>
      <c r="G6" t="s">
        <v>355</v>
      </c>
      <c r="H6">
        <v>79</v>
      </c>
      <c r="I6">
        <v>14</v>
      </c>
      <c r="J6">
        <v>1</v>
      </c>
      <c r="K6" t="s">
        <v>56</v>
      </c>
      <c r="L6">
        <v>2024</v>
      </c>
      <c r="M6">
        <v>0</v>
      </c>
      <c r="N6">
        <v>0</v>
      </c>
      <c r="O6" t="s">
        <v>56</v>
      </c>
      <c r="P6">
        <v>1</v>
      </c>
      <c r="Q6" t="s">
        <v>168</v>
      </c>
      <c r="R6" t="s">
        <v>168</v>
      </c>
      <c r="S6" t="s">
        <v>168</v>
      </c>
      <c r="T6" t="s">
        <v>168</v>
      </c>
      <c r="U6" t="s">
        <v>169</v>
      </c>
      <c r="V6" t="s">
        <v>169</v>
      </c>
      <c r="W6" t="s">
        <v>169</v>
      </c>
      <c r="X6" s="5">
        <v>44652</v>
      </c>
      <c r="Y6" s="5">
        <v>44851</v>
      </c>
      <c r="Z6" s="5">
        <v>44931</v>
      </c>
      <c r="AA6" s="5">
        <v>45534</v>
      </c>
      <c r="AB6" t="s">
        <v>170</v>
      </c>
      <c r="AC6" t="s">
        <v>172</v>
      </c>
      <c r="AD6" t="s">
        <v>174</v>
      </c>
      <c r="AE6" t="s">
        <v>169</v>
      </c>
    </row>
    <row r="7" spans="1:31" x14ac:dyDescent="0.25">
      <c r="A7">
        <v>640852806</v>
      </c>
      <c r="B7" t="s">
        <v>28</v>
      </c>
      <c r="C7" t="s">
        <v>415</v>
      </c>
      <c r="E7">
        <v>5</v>
      </c>
      <c r="F7">
        <v>204</v>
      </c>
      <c r="G7" t="s">
        <v>355</v>
      </c>
      <c r="H7">
        <v>79</v>
      </c>
      <c r="I7">
        <v>14</v>
      </c>
      <c r="J7">
        <v>1</v>
      </c>
      <c r="K7" t="s">
        <v>57</v>
      </c>
      <c r="L7">
        <v>2024</v>
      </c>
      <c r="M7">
        <v>0</v>
      </c>
      <c r="N7">
        <v>0</v>
      </c>
      <c r="O7" t="s">
        <v>57</v>
      </c>
      <c r="P7">
        <v>1</v>
      </c>
      <c r="Q7" t="s">
        <v>168</v>
      </c>
      <c r="R7" t="s">
        <v>168</v>
      </c>
      <c r="S7" t="s">
        <v>168</v>
      </c>
      <c r="T7" t="s">
        <v>168</v>
      </c>
      <c r="U7" t="s">
        <v>169</v>
      </c>
      <c r="V7" t="s">
        <v>169</v>
      </c>
      <c r="W7" t="s">
        <v>169</v>
      </c>
      <c r="X7" s="5">
        <v>45092</v>
      </c>
      <c r="Y7" s="5">
        <v>45295</v>
      </c>
      <c r="Z7" s="5">
        <v>45550</v>
      </c>
      <c r="AA7" s="5">
        <v>45576</v>
      </c>
      <c r="AB7" t="s">
        <v>170</v>
      </c>
      <c r="AC7" t="s">
        <v>172</v>
      </c>
      <c r="AD7" t="s">
        <v>174</v>
      </c>
      <c r="AE7" t="s">
        <v>169</v>
      </c>
    </row>
    <row r="8" spans="1:31" x14ac:dyDescent="0.25">
      <c r="A8">
        <v>640852818</v>
      </c>
      <c r="B8" t="s">
        <v>29</v>
      </c>
      <c r="C8" t="s">
        <v>426</v>
      </c>
      <c r="E8">
        <v>6</v>
      </c>
      <c r="F8">
        <v>210</v>
      </c>
      <c r="G8" t="s">
        <v>355</v>
      </c>
      <c r="H8">
        <v>72</v>
      </c>
      <c r="I8">
        <v>17</v>
      </c>
      <c r="J8">
        <v>1</v>
      </c>
      <c r="K8" t="s">
        <v>58</v>
      </c>
      <c r="L8">
        <v>2024</v>
      </c>
      <c r="M8">
        <v>0</v>
      </c>
      <c r="N8">
        <v>0</v>
      </c>
      <c r="O8" t="s">
        <v>58</v>
      </c>
      <c r="P8">
        <v>1</v>
      </c>
      <c r="Q8" t="s">
        <v>168</v>
      </c>
      <c r="R8" t="s">
        <v>168</v>
      </c>
      <c r="S8" t="s">
        <v>168</v>
      </c>
      <c r="T8" t="s">
        <v>168</v>
      </c>
      <c r="U8" t="s">
        <v>169</v>
      </c>
      <c r="V8" t="s">
        <v>169</v>
      </c>
      <c r="W8" t="s">
        <v>169</v>
      </c>
      <c r="X8" s="5">
        <v>45128</v>
      </c>
      <c r="Y8" s="5">
        <v>45364</v>
      </c>
      <c r="Z8" s="5">
        <v>45525</v>
      </c>
      <c r="AA8" s="5">
        <v>45545</v>
      </c>
      <c r="AB8" t="s">
        <v>170</v>
      </c>
      <c r="AC8" t="s">
        <v>172</v>
      </c>
      <c r="AD8" t="s">
        <v>175</v>
      </c>
      <c r="AE8" t="s">
        <v>169</v>
      </c>
    </row>
    <row r="9" spans="1:31" x14ac:dyDescent="0.25">
      <c r="A9">
        <v>640852818</v>
      </c>
      <c r="B9" t="s">
        <v>29</v>
      </c>
      <c r="C9" t="s">
        <v>414</v>
      </c>
      <c r="E9">
        <v>7</v>
      </c>
      <c r="F9">
        <v>211</v>
      </c>
      <c r="G9" t="s">
        <v>355</v>
      </c>
      <c r="H9">
        <v>72</v>
      </c>
      <c r="I9">
        <v>18</v>
      </c>
      <c r="J9">
        <v>1</v>
      </c>
      <c r="K9" t="s">
        <v>59</v>
      </c>
      <c r="L9">
        <v>2024</v>
      </c>
      <c r="M9">
        <v>0</v>
      </c>
      <c r="N9">
        <v>0</v>
      </c>
      <c r="O9" t="s">
        <v>59</v>
      </c>
      <c r="P9">
        <v>1</v>
      </c>
      <c r="Q9" t="s">
        <v>168</v>
      </c>
      <c r="R9" t="s">
        <v>168</v>
      </c>
      <c r="S9" t="s">
        <v>168</v>
      </c>
      <c r="T9" t="s">
        <v>168</v>
      </c>
      <c r="U9" t="s">
        <v>169</v>
      </c>
      <c r="V9" t="s">
        <v>169</v>
      </c>
      <c r="W9" t="s">
        <v>169</v>
      </c>
      <c r="X9" s="5">
        <v>44797</v>
      </c>
      <c r="Y9" s="5">
        <v>45286</v>
      </c>
      <c r="Z9" s="5">
        <v>45535</v>
      </c>
      <c r="AA9" s="5">
        <v>45561</v>
      </c>
      <c r="AB9" t="s">
        <v>170</v>
      </c>
      <c r="AC9" t="s">
        <v>172</v>
      </c>
      <c r="AD9" t="s">
        <v>175</v>
      </c>
      <c r="AE9" t="s">
        <v>169</v>
      </c>
    </row>
    <row r="10" spans="1:31" x14ac:dyDescent="0.25">
      <c r="A10">
        <v>640853826</v>
      </c>
      <c r="B10" t="s">
        <v>30</v>
      </c>
      <c r="C10" s="7" t="s">
        <v>427</v>
      </c>
      <c r="D10" s="7"/>
      <c r="E10" s="7">
        <v>8</v>
      </c>
      <c r="F10" s="7">
        <v>212</v>
      </c>
      <c r="G10" s="7" t="s">
        <v>355</v>
      </c>
      <c r="H10" s="7">
        <v>73</v>
      </c>
      <c r="I10" s="7">
        <v>21</v>
      </c>
      <c r="J10">
        <v>1</v>
      </c>
      <c r="K10" t="s">
        <v>60</v>
      </c>
      <c r="L10">
        <v>2024</v>
      </c>
      <c r="M10">
        <v>0</v>
      </c>
      <c r="N10">
        <v>0</v>
      </c>
      <c r="O10" t="s">
        <v>60</v>
      </c>
      <c r="P10">
        <v>1</v>
      </c>
      <c r="Q10" t="s">
        <v>168</v>
      </c>
      <c r="R10" t="s">
        <v>168</v>
      </c>
      <c r="S10" t="s">
        <v>168</v>
      </c>
      <c r="T10" t="s">
        <v>168</v>
      </c>
      <c r="U10" t="s">
        <v>169</v>
      </c>
      <c r="V10" t="s">
        <v>169</v>
      </c>
      <c r="W10" t="s">
        <v>169</v>
      </c>
      <c r="X10" s="5">
        <v>45090</v>
      </c>
      <c r="Y10" s="5">
        <v>45299</v>
      </c>
      <c r="Z10" s="5">
        <v>45409</v>
      </c>
      <c r="AA10" s="5">
        <v>45511</v>
      </c>
      <c r="AB10" t="s">
        <v>170</v>
      </c>
      <c r="AC10" t="s">
        <v>172</v>
      </c>
      <c r="AD10" t="s">
        <v>175</v>
      </c>
      <c r="AE10" t="s">
        <v>169</v>
      </c>
    </row>
    <row r="11" spans="1:31" x14ac:dyDescent="0.25">
      <c r="A11">
        <v>640853826</v>
      </c>
      <c r="B11" t="s">
        <v>30</v>
      </c>
      <c r="C11" s="7" t="s">
        <v>428</v>
      </c>
      <c r="D11" s="7"/>
      <c r="E11" s="7">
        <v>9</v>
      </c>
      <c r="F11" s="7">
        <v>213</v>
      </c>
      <c r="G11" s="7" t="s">
        <v>355</v>
      </c>
      <c r="H11" s="7">
        <v>73</v>
      </c>
      <c r="I11" s="7">
        <v>22</v>
      </c>
      <c r="J11">
        <v>1</v>
      </c>
      <c r="K11" t="s">
        <v>61</v>
      </c>
      <c r="L11">
        <v>2024</v>
      </c>
      <c r="M11">
        <v>0</v>
      </c>
      <c r="N11">
        <v>0</v>
      </c>
      <c r="O11" t="s">
        <v>61</v>
      </c>
      <c r="P11">
        <v>1</v>
      </c>
      <c r="Q11" t="s">
        <v>168</v>
      </c>
      <c r="R11" t="s">
        <v>168</v>
      </c>
      <c r="S11" t="s">
        <v>168</v>
      </c>
      <c r="T11" t="s">
        <v>168</v>
      </c>
      <c r="U11" t="s">
        <v>169</v>
      </c>
      <c r="V11" t="s">
        <v>169</v>
      </c>
      <c r="W11" t="s">
        <v>169</v>
      </c>
      <c r="X11" s="5">
        <v>45090</v>
      </c>
      <c r="Y11" s="5">
        <v>45299</v>
      </c>
      <c r="Z11" s="5">
        <v>45485</v>
      </c>
      <c r="AA11" s="5">
        <v>45511</v>
      </c>
      <c r="AB11" t="s">
        <v>170</v>
      </c>
      <c r="AC11" t="s">
        <v>172</v>
      </c>
      <c r="AD11" t="s">
        <v>175</v>
      </c>
      <c r="AE11" t="s">
        <v>169</v>
      </c>
    </row>
    <row r="12" spans="1:31" x14ac:dyDescent="0.25">
      <c r="A12">
        <v>640853827</v>
      </c>
      <c r="B12" t="s">
        <v>30</v>
      </c>
      <c r="C12" t="s">
        <v>403</v>
      </c>
      <c r="E12">
        <v>10</v>
      </c>
      <c r="F12">
        <v>214</v>
      </c>
      <c r="G12" t="s">
        <v>355</v>
      </c>
      <c r="H12">
        <v>74</v>
      </c>
      <c r="I12">
        <v>10</v>
      </c>
      <c r="J12">
        <v>1</v>
      </c>
      <c r="K12" t="s">
        <v>62</v>
      </c>
      <c r="L12">
        <v>2024</v>
      </c>
      <c r="M12">
        <v>0</v>
      </c>
      <c r="N12">
        <v>0</v>
      </c>
      <c r="O12" t="s">
        <v>62</v>
      </c>
      <c r="P12">
        <v>1</v>
      </c>
      <c r="Q12" t="s">
        <v>168</v>
      </c>
      <c r="R12" t="s">
        <v>168</v>
      </c>
      <c r="S12" t="s">
        <v>168</v>
      </c>
      <c r="T12" t="s">
        <v>168</v>
      </c>
      <c r="U12" t="s">
        <v>169</v>
      </c>
      <c r="V12" t="s">
        <v>169</v>
      </c>
      <c r="W12" t="s">
        <v>169</v>
      </c>
      <c r="X12" s="5">
        <v>45090</v>
      </c>
      <c r="Y12" s="5">
        <v>45282</v>
      </c>
      <c r="Z12" s="5"/>
      <c r="AA12" s="5"/>
      <c r="AB12" t="s">
        <v>170</v>
      </c>
      <c r="AC12" t="s">
        <v>172</v>
      </c>
      <c r="AD12" t="s">
        <v>175</v>
      </c>
      <c r="AE12" t="s">
        <v>169</v>
      </c>
    </row>
    <row r="13" spans="1:31" x14ac:dyDescent="0.25">
      <c r="A13">
        <v>640853827</v>
      </c>
      <c r="B13" t="s">
        <v>30</v>
      </c>
      <c r="C13" t="s">
        <v>403</v>
      </c>
      <c r="E13">
        <v>11</v>
      </c>
      <c r="F13">
        <v>215</v>
      </c>
      <c r="G13" t="s">
        <v>355</v>
      </c>
      <c r="H13">
        <v>74</v>
      </c>
      <c r="I13">
        <v>10</v>
      </c>
      <c r="J13">
        <v>1</v>
      </c>
      <c r="K13" t="s">
        <v>63</v>
      </c>
      <c r="L13">
        <v>2024</v>
      </c>
      <c r="M13">
        <v>0</v>
      </c>
      <c r="N13">
        <v>0</v>
      </c>
      <c r="O13" t="s">
        <v>63</v>
      </c>
      <c r="P13">
        <v>1</v>
      </c>
      <c r="Q13" t="s">
        <v>168</v>
      </c>
      <c r="R13" t="s">
        <v>168</v>
      </c>
      <c r="S13" t="s">
        <v>168</v>
      </c>
      <c r="T13" t="s">
        <v>168</v>
      </c>
      <c r="U13" t="s">
        <v>169</v>
      </c>
      <c r="V13" t="s">
        <v>169</v>
      </c>
      <c r="W13" t="s">
        <v>169</v>
      </c>
      <c r="X13" s="5">
        <v>45090</v>
      </c>
      <c r="Y13" s="5">
        <v>45282</v>
      </c>
      <c r="Z13" s="5"/>
      <c r="AA13" s="5"/>
      <c r="AB13" t="s">
        <v>170</v>
      </c>
      <c r="AC13" t="s">
        <v>172</v>
      </c>
      <c r="AD13" t="s">
        <v>175</v>
      </c>
      <c r="AE13" t="s">
        <v>169</v>
      </c>
    </row>
    <row r="14" spans="1:31" x14ac:dyDescent="0.25">
      <c r="A14">
        <v>640853827</v>
      </c>
      <c r="B14" t="s">
        <v>30</v>
      </c>
      <c r="C14" t="s">
        <v>399</v>
      </c>
      <c r="E14">
        <v>12</v>
      </c>
      <c r="F14">
        <v>216</v>
      </c>
      <c r="G14" t="s">
        <v>355</v>
      </c>
      <c r="H14">
        <v>74</v>
      </c>
      <c r="I14">
        <v>6</v>
      </c>
      <c r="J14">
        <v>1</v>
      </c>
      <c r="K14" t="s">
        <v>64</v>
      </c>
      <c r="L14">
        <v>2024</v>
      </c>
      <c r="M14">
        <v>0</v>
      </c>
      <c r="N14">
        <v>0</v>
      </c>
      <c r="O14" t="s">
        <v>64</v>
      </c>
      <c r="P14">
        <v>1</v>
      </c>
      <c r="Q14" t="s">
        <v>168</v>
      </c>
      <c r="R14" t="s">
        <v>168</v>
      </c>
      <c r="S14" t="s">
        <v>168</v>
      </c>
      <c r="T14" t="s">
        <v>168</v>
      </c>
      <c r="U14" t="s">
        <v>169</v>
      </c>
      <c r="V14" t="s">
        <v>169</v>
      </c>
      <c r="W14" t="s">
        <v>169</v>
      </c>
      <c r="X14" s="5">
        <v>45090</v>
      </c>
      <c r="Y14" s="5">
        <v>45346</v>
      </c>
      <c r="Z14" s="5">
        <v>45453</v>
      </c>
      <c r="AA14" s="5">
        <v>45514</v>
      </c>
      <c r="AB14" t="s">
        <v>170</v>
      </c>
      <c r="AC14" t="s">
        <v>172</v>
      </c>
      <c r="AD14" t="s">
        <v>175</v>
      </c>
      <c r="AE14" t="s">
        <v>169</v>
      </c>
    </row>
    <row r="15" spans="1:31" x14ac:dyDescent="0.25">
      <c r="A15">
        <v>640853827</v>
      </c>
      <c r="B15" t="s">
        <v>30</v>
      </c>
      <c r="C15" t="s">
        <v>412</v>
      </c>
      <c r="E15">
        <v>13</v>
      </c>
      <c r="F15">
        <v>217</v>
      </c>
      <c r="G15" t="s">
        <v>355</v>
      </c>
      <c r="H15">
        <v>74</v>
      </c>
      <c r="I15">
        <v>19</v>
      </c>
      <c r="J15">
        <v>1</v>
      </c>
      <c r="K15" t="s">
        <v>65</v>
      </c>
      <c r="L15">
        <v>2024</v>
      </c>
      <c r="M15">
        <v>0</v>
      </c>
      <c r="N15">
        <v>0</v>
      </c>
      <c r="O15" t="s">
        <v>65</v>
      </c>
      <c r="P15">
        <v>1</v>
      </c>
      <c r="Q15" t="s">
        <v>168</v>
      </c>
      <c r="R15" t="s">
        <v>168</v>
      </c>
      <c r="S15" t="s">
        <v>168</v>
      </c>
      <c r="T15" t="s">
        <v>168</v>
      </c>
      <c r="U15" t="s">
        <v>169</v>
      </c>
      <c r="V15" t="s">
        <v>169</v>
      </c>
      <c r="W15" t="s">
        <v>169</v>
      </c>
      <c r="X15" s="5">
        <v>45090</v>
      </c>
      <c r="Y15" s="5">
        <v>45471</v>
      </c>
      <c r="Z15" s="5"/>
      <c r="AA15" s="5">
        <v>45561</v>
      </c>
      <c r="AB15" t="s">
        <v>170</v>
      </c>
      <c r="AC15" t="s">
        <v>172</v>
      </c>
      <c r="AD15" t="s">
        <v>175</v>
      </c>
      <c r="AE15" t="s">
        <v>169</v>
      </c>
    </row>
    <row r="16" spans="1:31" x14ac:dyDescent="0.25">
      <c r="A16">
        <v>640852811</v>
      </c>
      <c r="B16" t="s">
        <v>31</v>
      </c>
      <c r="C16" t="s">
        <v>416</v>
      </c>
      <c r="E16">
        <v>14</v>
      </c>
      <c r="F16">
        <v>308</v>
      </c>
      <c r="G16" t="s">
        <v>331</v>
      </c>
      <c r="H16">
        <v>64</v>
      </c>
      <c r="I16">
        <v>1</v>
      </c>
      <c r="J16">
        <v>1</v>
      </c>
      <c r="K16" t="s">
        <v>246</v>
      </c>
      <c r="L16">
        <v>2024</v>
      </c>
      <c r="M16">
        <v>0</v>
      </c>
      <c r="N16">
        <v>0</v>
      </c>
      <c r="O16" t="s">
        <v>66</v>
      </c>
      <c r="P16">
        <v>1</v>
      </c>
      <c r="Q16" t="s">
        <v>168</v>
      </c>
      <c r="R16" t="s">
        <v>168</v>
      </c>
      <c r="S16" t="s">
        <v>168</v>
      </c>
      <c r="T16" t="s">
        <v>168</v>
      </c>
      <c r="U16" t="s">
        <v>169</v>
      </c>
      <c r="V16" t="s">
        <v>169</v>
      </c>
      <c r="W16" t="s">
        <v>169</v>
      </c>
      <c r="X16" s="5">
        <v>44698</v>
      </c>
      <c r="Y16" s="5">
        <v>44821</v>
      </c>
      <c r="Z16" s="5">
        <v>45107</v>
      </c>
      <c r="AA16" s="5">
        <v>45500</v>
      </c>
      <c r="AB16" t="s">
        <v>171</v>
      </c>
      <c r="AC16" t="s">
        <v>172</v>
      </c>
      <c r="AD16" t="s">
        <v>173</v>
      </c>
      <c r="AE16" t="s">
        <v>169</v>
      </c>
    </row>
    <row r="17" spans="1:31" x14ac:dyDescent="0.25">
      <c r="A17">
        <v>640852804</v>
      </c>
      <c r="B17" t="s">
        <v>32</v>
      </c>
      <c r="C17" s="7" t="s">
        <v>420</v>
      </c>
      <c r="D17" s="7"/>
      <c r="E17" s="7">
        <v>15</v>
      </c>
      <c r="F17" s="7">
        <v>312</v>
      </c>
      <c r="G17" s="7" t="s">
        <v>355</v>
      </c>
      <c r="H17" s="7">
        <v>99</v>
      </c>
      <c r="I17" s="7">
        <v>23</v>
      </c>
      <c r="J17">
        <v>1</v>
      </c>
      <c r="K17" t="s">
        <v>256</v>
      </c>
      <c r="L17">
        <v>2024</v>
      </c>
      <c r="M17">
        <v>0</v>
      </c>
      <c r="N17">
        <v>0</v>
      </c>
      <c r="O17" t="s">
        <v>67</v>
      </c>
      <c r="P17">
        <v>1</v>
      </c>
      <c r="Q17" t="s">
        <v>168</v>
      </c>
      <c r="R17" t="s">
        <v>168</v>
      </c>
      <c r="S17" t="s">
        <v>168</v>
      </c>
      <c r="T17" t="s">
        <v>168</v>
      </c>
      <c r="U17" t="s">
        <v>169</v>
      </c>
      <c r="V17" t="s">
        <v>169</v>
      </c>
      <c r="W17" t="s">
        <v>169</v>
      </c>
      <c r="X17" s="5">
        <v>44617</v>
      </c>
      <c r="Y17" s="5">
        <v>45066</v>
      </c>
      <c r="Z17" s="5">
        <v>45571</v>
      </c>
      <c r="AA17" s="5">
        <v>45620</v>
      </c>
      <c r="AB17" t="s">
        <v>171</v>
      </c>
      <c r="AC17" t="s">
        <v>172</v>
      </c>
      <c r="AD17" t="s">
        <v>178</v>
      </c>
      <c r="AE17" t="s">
        <v>169</v>
      </c>
    </row>
    <row r="18" spans="1:31" x14ac:dyDescent="0.25">
      <c r="A18">
        <v>640852811</v>
      </c>
      <c r="B18" t="s">
        <v>31</v>
      </c>
      <c r="C18" t="s">
        <v>416</v>
      </c>
      <c r="E18">
        <v>16</v>
      </c>
      <c r="F18">
        <v>330</v>
      </c>
      <c r="G18" t="s">
        <v>328</v>
      </c>
      <c r="H18">
        <v>64</v>
      </c>
      <c r="I18">
        <v>1</v>
      </c>
      <c r="J18">
        <v>1</v>
      </c>
      <c r="K18" t="s">
        <v>247</v>
      </c>
      <c r="L18">
        <v>2024</v>
      </c>
      <c r="M18">
        <v>0</v>
      </c>
      <c r="N18">
        <v>0</v>
      </c>
      <c r="O18" t="s">
        <v>68</v>
      </c>
      <c r="P18">
        <v>1</v>
      </c>
      <c r="Q18" t="s">
        <v>168</v>
      </c>
      <c r="R18" t="s">
        <v>168</v>
      </c>
      <c r="S18" t="s">
        <v>168</v>
      </c>
      <c r="T18" t="s">
        <v>168</v>
      </c>
      <c r="U18" t="s">
        <v>169</v>
      </c>
      <c r="V18" t="s">
        <v>169</v>
      </c>
      <c r="W18" t="s">
        <v>169</v>
      </c>
      <c r="X18" s="5">
        <v>44739</v>
      </c>
      <c r="Y18" s="5">
        <v>45019</v>
      </c>
      <c r="Z18" s="5">
        <v>45329</v>
      </c>
      <c r="AA18" s="5">
        <v>45500</v>
      </c>
      <c r="AB18" t="s">
        <v>171</v>
      </c>
      <c r="AC18" t="s">
        <v>172</v>
      </c>
      <c r="AD18" t="s">
        <v>173</v>
      </c>
      <c r="AE18" t="s">
        <v>169</v>
      </c>
    </row>
    <row r="19" spans="1:31" x14ac:dyDescent="0.25">
      <c r="A19">
        <v>640852811</v>
      </c>
      <c r="B19" t="s">
        <v>31</v>
      </c>
      <c r="C19" t="s">
        <v>417</v>
      </c>
      <c r="E19">
        <v>17</v>
      </c>
      <c r="F19">
        <v>331</v>
      </c>
      <c r="G19" t="s">
        <v>329</v>
      </c>
      <c r="H19">
        <v>64</v>
      </c>
      <c r="I19">
        <v>15</v>
      </c>
      <c r="J19">
        <v>1</v>
      </c>
      <c r="K19" t="s">
        <v>248</v>
      </c>
      <c r="L19">
        <v>2024</v>
      </c>
      <c r="M19">
        <v>0</v>
      </c>
      <c r="N19">
        <v>0</v>
      </c>
      <c r="O19" t="s">
        <v>69</v>
      </c>
      <c r="P19">
        <v>1</v>
      </c>
      <c r="Q19" t="s">
        <v>168</v>
      </c>
      <c r="R19" t="s">
        <v>168</v>
      </c>
      <c r="S19" t="s">
        <v>168</v>
      </c>
      <c r="T19" t="s">
        <v>168</v>
      </c>
      <c r="U19" t="s">
        <v>169</v>
      </c>
      <c r="V19" t="s">
        <v>169</v>
      </c>
      <c r="W19" t="s">
        <v>169</v>
      </c>
      <c r="X19" s="5">
        <v>44819</v>
      </c>
      <c r="Y19" s="5">
        <v>44940</v>
      </c>
      <c r="Z19" s="5">
        <v>45071</v>
      </c>
      <c r="AA19" s="5">
        <v>45500</v>
      </c>
      <c r="AB19" t="s">
        <v>171</v>
      </c>
      <c r="AC19" t="s">
        <v>172</v>
      </c>
      <c r="AD19" t="s">
        <v>173</v>
      </c>
      <c r="AE19" t="s">
        <v>169</v>
      </c>
    </row>
    <row r="20" spans="1:31" x14ac:dyDescent="0.25">
      <c r="A20">
        <v>640852821</v>
      </c>
      <c r="B20" t="s">
        <v>33</v>
      </c>
      <c r="C20" s="7" t="s">
        <v>431</v>
      </c>
      <c r="D20" s="7"/>
      <c r="E20" s="7">
        <v>18</v>
      </c>
      <c r="F20" s="7">
        <v>333</v>
      </c>
      <c r="G20" s="7" t="s">
        <v>355</v>
      </c>
      <c r="H20" s="7">
        <v>55</v>
      </c>
      <c r="I20" s="7">
        <v>24</v>
      </c>
      <c r="J20">
        <v>1</v>
      </c>
      <c r="K20" t="s">
        <v>70</v>
      </c>
      <c r="L20">
        <v>2024</v>
      </c>
      <c r="M20">
        <v>0</v>
      </c>
      <c r="N20">
        <v>0</v>
      </c>
      <c r="O20" t="s">
        <v>70</v>
      </c>
      <c r="P20">
        <v>1</v>
      </c>
      <c r="Q20" t="s">
        <v>168</v>
      </c>
      <c r="R20" t="s">
        <v>168</v>
      </c>
      <c r="S20" t="s">
        <v>168</v>
      </c>
      <c r="T20" t="s">
        <v>168</v>
      </c>
      <c r="U20" t="s">
        <v>169</v>
      </c>
      <c r="V20" t="s">
        <v>169</v>
      </c>
      <c r="W20" t="s">
        <v>169</v>
      </c>
      <c r="X20" s="5">
        <v>44813</v>
      </c>
      <c r="Y20" s="5">
        <v>45412</v>
      </c>
      <c r="Z20" s="5">
        <v>45690</v>
      </c>
      <c r="AA20" s="5">
        <v>45690</v>
      </c>
      <c r="AB20" t="s">
        <v>170</v>
      </c>
      <c r="AC20" t="s">
        <v>172</v>
      </c>
      <c r="AD20" t="s">
        <v>178</v>
      </c>
      <c r="AE20" t="s">
        <v>169</v>
      </c>
    </row>
    <row r="21" spans="1:31" x14ac:dyDescent="0.25">
      <c r="A21">
        <v>640852822</v>
      </c>
      <c r="B21" t="s">
        <v>34</v>
      </c>
      <c r="C21" s="7" t="s">
        <v>430</v>
      </c>
      <c r="D21" s="7"/>
      <c r="E21" s="7">
        <v>19</v>
      </c>
      <c r="F21" s="7">
        <v>334</v>
      </c>
      <c r="G21" s="7" t="s">
        <v>355</v>
      </c>
      <c r="H21" s="7">
        <v>69</v>
      </c>
      <c r="I21" s="7">
        <v>25</v>
      </c>
      <c r="J21">
        <v>1</v>
      </c>
      <c r="K21" t="s">
        <v>279</v>
      </c>
      <c r="L21">
        <v>2024</v>
      </c>
      <c r="M21">
        <v>0</v>
      </c>
      <c r="N21">
        <v>0</v>
      </c>
      <c r="O21" t="s">
        <v>71</v>
      </c>
      <c r="P21">
        <v>1</v>
      </c>
      <c r="Q21" t="s">
        <v>168</v>
      </c>
      <c r="R21" t="s">
        <v>168</v>
      </c>
      <c r="S21" t="s">
        <v>168</v>
      </c>
      <c r="T21" t="s">
        <v>168</v>
      </c>
      <c r="U21" t="s">
        <v>169</v>
      </c>
      <c r="V21" t="s">
        <v>169</v>
      </c>
      <c r="W21" t="s">
        <v>169</v>
      </c>
      <c r="X21" s="5">
        <v>44812</v>
      </c>
      <c r="Y21" s="5">
        <v>45261</v>
      </c>
      <c r="Z21" s="5">
        <v>45531</v>
      </c>
      <c r="AA21" s="5">
        <v>45561</v>
      </c>
      <c r="AB21" t="s">
        <v>171</v>
      </c>
      <c r="AC21" t="s">
        <v>172</v>
      </c>
      <c r="AD21" t="s">
        <v>178</v>
      </c>
      <c r="AE21" t="s">
        <v>169</v>
      </c>
    </row>
    <row r="22" spans="1:31" x14ac:dyDescent="0.25">
      <c r="A22">
        <v>640851807</v>
      </c>
      <c r="B22" t="s">
        <v>35</v>
      </c>
      <c r="C22" t="s">
        <v>416</v>
      </c>
      <c r="E22">
        <v>20</v>
      </c>
      <c r="F22">
        <v>335</v>
      </c>
      <c r="G22" t="s">
        <v>355</v>
      </c>
      <c r="H22">
        <v>60</v>
      </c>
      <c r="I22">
        <v>1</v>
      </c>
      <c r="J22">
        <v>1</v>
      </c>
      <c r="K22" t="s">
        <v>72</v>
      </c>
      <c r="L22">
        <v>2024</v>
      </c>
      <c r="M22">
        <v>0</v>
      </c>
      <c r="N22">
        <v>0</v>
      </c>
      <c r="O22" t="s">
        <v>72</v>
      </c>
      <c r="P22">
        <v>1</v>
      </c>
      <c r="Q22" t="s">
        <v>168</v>
      </c>
      <c r="R22" t="s">
        <v>168</v>
      </c>
      <c r="S22" t="s">
        <v>168</v>
      </c>
      <c r="T22" t="s">
        <v>168</v>
      </c>
      <c r="U22" t="s">
        <v>169</v>
      </c>
      <c r="V22" t="s">
        <v>169</v>
      </c>
      <c r="W22" t="s">
        <v>169</v>
      </c>
      <c r="X22" s="5">
        <v>44554</v>
      </c>
      <c r="Y22" s="5">
        <v>44743</v>
      </c>
      <c r="Z22" s="5">
        <v>45430</v>
      </c>
      <c r="AA22" s="5">
        <v>45562</v>
      </c>
      <c r="AB22" t="s">
        <v>171</v>
      </c>
      <c r="AC22" t="s">
        <v>172</v>
      </c>
      <c r="AD22" t="s">
        <v>178</v>
      </c>
      <c r="AE22" t="s">
        <v>169</v>
      </c>
    </row>
    <row r="23" spans="1:31" x14ac:dyDescent="0.25">
      <c r="A23">
        <v>640852824</v>
      </c>
      <c r="B23" t="s">
        <v>36</v>
      </c>
      <c r="C23" s="7" t="s">
        <v>432</v>
      </c>
      <c r="D23" s="7"/>
      <c r="E23" s="7">
        <v>21</v>
      </c>
      <c r="F23" s="7">
        <v>364</v>
      </c>
      <c r="G23" s="7" t="s">
        <v>355</v>
      </c>
      <c r="H23" s="7">
        <v>56</v>
      </c>
      <c r="I23" s="7">
        <v>26</v>
      </c>
      <c r="J23">
        <v>1</v>
      </c>
      <c r="K23" t="s">
        <v>73</v>
      </c>
      <c r="L23">
        <v>2024</v>
      </c>
      <c r="M23">
        <v>0</v>
      </c>
      <c r="N23">
        <v>0</v>
      </c>
      <c r="O23" t="s">
        <v>73</v>
      </c>
      <c r="P23">
        <v>1</v>
      </c>
      <c r="Q23" t="s">
        <v>168</v>
      </c>
      <c r="R23" t="s">
        <v>168</v>
      </c>
      <c r="S23" t="s">
        <v>168</v>
      </c>
      <c r="T23" t="s">
        <v>168</v>
      </c>
      <c r="U23" t="s">
        <v>169</v>
      </c>
      <c r="V23" t="s">
        <v>169</v>
      </c>
      <c r="W23" t="s">
        <v>169</v>
      </c>
      <c r="X23" s="5">
        <v>44865</v>
      </c>
      <c r="Y23" s="5">
        <v>45082</v>
      </c>
      <c r="Z23" s="5">
        <v>45511</v>
      </c>
      <c r="AA23" s="5">
        <v>45550</v>
      </c>
      <c r="AB23" t="s">
        <v>170</v>
      </c>
      <c r="AC23" t="s">
        <v>172</v>
      </c>
      <c r="AD23" t="s">
        <v>178</v>
      </c>
      <c r="AE23" t="s">
        <v>169</v>
      </c>
    </row>
    <row r="24" spans="1:31" x14ac:dyDescent="0.25">
      <c r="A24">
        <v>640852824</v>
      </c>
      <c r="B24" t="s">
        <v>36</v>
      </c>
      <c r="C24" t="s">
        <v>415</v>
      </c>
      <c r="E24">
        <v>22</v>
      </c>
      <c r="F24">
        <v>365</v>
      </c>
      <c r="G24" t="s">
        <v>355</v>
      </c>
      <c r="H24">
        <v>56</v>
      </c>
      <c r="I24">
        <v>14</v>
      </c>
      <c r="J24">
        <v>1</v>
      </c>
      <c r="K24" t="s">
        <v>74</v>
      </c>
      <c r="L24">
        <v>2024</v>
      </c>
      <c r="M24">
        <v>0</v>
      </c>
      <c r="N24">
        <v>0</v>
      </c>
      <c r="O24" t="s">
        <v>74</v>
      </c>
      <c r="P24">
        <v>1</v>
      </c>
      <c r="Q24" t="s">
        <v>168</v>
      </c>
      <c r="R24" t="s">
        <v>168</v>
      </c>
      <c r="S24" t="s">
        <v>168</v>
      </c>
      <c r="T24" t="s">
        <v>168</v>
      </c>
      <c r="U24" t="s">
        <v>169</v>
      </c>
      <c r="V24" t="s">
        <v>169</v>
      </c>
      <c r="W24" t="s">
        <v>169</v>
      </c>
      <c r="X24" s="5">
        <v>44865</v>
      </c>
      <c r="Y24" s="5">
        <v>45163</v>
      </c>
      <c r="Z24" s="5">
        <v>45525</v>
      </c>
      <c r="AA24" s="5">
        <v>45555</v>
      </c>
      <c r="AB24" t="s">
        <v>170</v>
      </c>
      <c r="AC24" t="s">
        <v>172</v>
      </c>
      <c r="AD24" t="s">
        <v>178</v>
      </c>
      <c r="AE24" t="s">
        <v>169</v>
      </c>
    </row>
    <row r="25" spans="1:31" x14ac:dyDescent="0.25">
      <c r="A25">
        <v>640852826</v>
      </c>
      <c r="B25" t="s">
        <v>28</v>
      </c>
      <c r="C25" s="7" t="s">
        <v>435</v>
      </c>
      <c r="D25" s="7"/>
      <c r="E25" s="7">
        <v>23</v>
      </c>
      <c r="F25" s="7">
        <v>369</v>
      </c>
      <c r="G25" s="7" t="s">
        <v>355</v>
      </c>
      <c r="H25" s="7">
        <v>58</v>
      </c>
      <c r="I25" s="7">
        <v>27</v>
      </c>
      <c r="J25">
        <v>1</v>
      </c>
      <c r="K25" t="s">
        <v>78</v>
      </c>
      <c r="L25">
        <v>2024</v>
      </c>
      <c r="M25">
        <v>0</v>
      </c>
      <c r="N25">
        <v>0</v>
      </c>
      <c r="O25" t="s">
        <v>78</v>
      </c>
      <c r="P25">
        <v>1</v>
      </c>
      <c r="Q25" t="s">
        <v>168</v>
      </c>
      <c r="R25" t="s">
        <v>168</v>
      </c>
      <c r="S25" t="s">
        <v>168</v>
      </c>
      <c r="T25" t="s">
        <v>168</v>
      </c>
      <c r="U25" t="s">
        <v>169</v>
      </c>
      <c r="V25" t="s">
        <v>169</v>
      </c>
      <c r="W25" t="s">
        <v>169</v>
      </c>
      <c r="X25" s="5">
        <v>44865</v>
      </c>
      <c r="Y25" s="5">
        <v>45117</v>
      </c>
      <c r="Z25" s="5"/>
      <c r="AA25" s="5">
        <v>45519</v>
      </c>
      <c r="AB25" t="s">
        <v>170</v>
      </c>
      <c r="AC25" t="s">
        <v>172</v>
      </c>
      <c r="AD25" t="s">
        <v>178</v>
      </c>
      <c r="AE25" t="s">
        <v>169</v>
      </c>
    </row>
    <row r="26" spans="1:31" x14ac:dyDescent="0.25">
      <c r="A26">
        <v>640852826</v>
      </c>
      <c r="B26" t="s">
        <v>28</v>
      </c>
      <c r="C26" s="7" t="s">
        <v>436</v>
      </c>
      <c r="D26" s="7"/>
      <c r="E26" s="7">
        <v>24</v>
      </c>
      <c r="F26" s="7">
        <v>370</v>
      </c>
      <c r="G26" s="7" t="s">
        <v>355</v>
      </c>
      <c r="H26" s="7">
        <v>58</v>
      </c>
      <c r="I26" s="7">
        <v>28</v>
      </c>
      <c r="J26">
        <v>1</v>
      </c>
      <c r="K26" t="s">
        <v>79</v>
      </c>
      <c r="L26">
        <v>2024</v>
      </c>
      <c r="M26">
        <v>0</v>
      </c>
      <c r="N26">
        <v>0</v>
      </c>
      <c r="O26" t="s">
        <v>79</v>
      </c>
      <c r="P26">
        <v>1</v>
      </c>
      <c r="Q26" t="s">
        <v>168</v>
      </c>
      <c r="R26" t="s">
        <v>168</v>
      </c>
      <c r="S26" t="s">
        <v>168</v>
      </c>
      <c r="T26" t="s">
        <v>168</v>
      </c>
      <c r="U26" t="s">
        <v>169</v>
      </c>
      <c r="V26" t="s">
        <v>169</v>
      </c>
      <c r="W26" t="s">
        <v>169</v>
      </c>
      <c r="X26" s="5">
        <v>44865</v>
      </c>
      <c r="Y26" s="5">
        <v>45164</v>
      </c>
      <c r="Z26" s="5">
        <v>45259</v>
      </c>
      <c r="AA26" s="5">
        <v>45655</v>
      </c>
      <c r="AB26" t="s">
        <v>170</v>
      </c>
      <c r="AC26" t="s">
        <v>172</v>
      </c>
      <c r="AD26" t="s">
        <v>178</v>
      </c>
      <c r="AE26" t="s">
        <v>169</v>
      </c>
    </row>
    <row r="27" spans="1:31" x14ac:dyDescent="0.25">
      <c r="A27">
        <v>640852826</v>
      </c>
      <c r="B27" t="s">
        <v>28</v>
      </c>
      <c r="C27" s="7" t="s">
        <v>437</v>
      </c>
      <c r="D27" s="7"/>
      <c r="E27" s="7">
        <v>25</v>
      </c>
      <c r="F27" s="7">
        <v>371</v>
      </c>
      <c r="G27" s="7" t="s">
        <v>355</v>
      </c>
      <c r="H27" s="7">
        <v>58</v>
      </c>
      <c r="I27" s="7">
        <v>29</v>
      </c>
      <c r="J27">
        <v>1</v>
      </c>
      <c r="K27" t="s">
        <v>80</v>
      </c>
      <c r="L27">
        <v>2024</v>
      </c>
      <c r="M27">
        <v>0</v>
      </c>
      <c r="N27">
        <v>0</v>
      </c>
      <c r="O27" t="s">
        <v>80</v>
      </c>
      <c r="P27">
        <v>1</v>
      </c>
      <c r="Q27" t="s">
        <v>168</v>
      </c>
      <c r="R27" t="s">
        <v>168</v>
      </c>
      <c r="S27" t="s">
        <v>168</v>
      </c>
      <c r="T27" t="s">
        <v>168</v>
      </c>
      <c r="U27" t="s">
        <v>169</v>
      </c>
      <c r="V27" t="s">
        <v>169</v>
      </c>
      <c r="W27" t="s">
        <v>169</v>
      </c>
      <c r="X27" s="5">
        <v>45193</v>
      </c>
      <c r="Y27" s="5">
        <v>45519</v>
      </c>
      <c r="Z27" s="5">
        <v>45742</v>
      </c>
      <c r="AA27" s="5">
        <v>45772</v>
      </c>
      <c r="AB27" t="s">
        <v>170</v>
      </c>
      <c r="AC27" t="s">
        <v>172</v>
      </c>
      <c r="AD27" t="s">
        <v>178</v>
      </c>
      <c r="AE27" t="s">
        <v>169</v>
      </c>
    </row>
    <row r="28" spans="1:31" x14ac:dyDescent="0.25">
      <c r="A28">
        <v>640852811</v>
      </c>
      <c r="B28" t="s">
        <v>31</v>
      </c>
      <c r="C28" t="s">
        <v>416</v>
      </c>
      <c r="E28">
        <v>26</v>
      </c>
      <c r="F28">
        <v>377</v>
      </c>
      <c r="G28" t="s">
        <v>330</v>
      </c>
      <c r="H28">
        <v>64</v>
      </c>
      <c r="I28">
        <v>1</v>
      </c>
      <c r="J28">
        <v>1</v>
      </c>
      <c r="K28" t="s">
        <v>249</v>
      </c>
      <c r="L28">
        <v>2024</v>
      </c>
      <c r="M28">
        <v>0</v>
      </c>
      <c r="N28">
        <v>0</v>
      </c>
      <c r="O28" t="s">
        <v>81</v>
      </c>
      <c r="P28">
        <v>1</v>
      </c>
      <c r="Q28" t="s">
        <v>168</v>
      </c>
      <c r="R28" t="s">
        <v>168</v>
      </c>
      <c r="S28" t="s">
        <v>168</v>
      </c>
      <c r="T28" t="s">
        <v>168</v>
      </c>
      <c r="U28" t="s">
        <v>169</v>
      </c>
      <c r="V28" t="s">
        <v>169</v>
      </c>
      <c r="W28" t="s">
        <v>169</v>
      </c>
      <c r="X28" s="5">
        <v>44874</v>
      </c>
      <c r="Y28" s="5">
        <v>45081</v>
      </c>
      <c r="Z28" s="5">
        <v>45501</v>
      </c>
      <c r="AA28" s="5">
        <v>45503</v>
      </c>
      <c r="AB28" t="s">
        <v>171</v>
      </c>
      <c r="AC28" t="s">
        <v>172</v>
      </c>
      <c r="AD28" t="s">
        <v>173</v>
      </c>
      <c r="AE28" t="s">
        <v>169</v>
      </c>
    </row>
    <row r="29" spans="1:31" x14ac:dyDescent="0.25">
      <c r="A29">
        <v>640852828</v>
      </c>
      <c r="B29" t="s">
        <v>37</v>
      </c>
      <c r="C29" t="s">
        <v>416</v>
      </c>
      <c r="E29">
        <v>27</v>
      </c>
      <c r="F29">
        <v>391</v>
      </c>
      <c r="G29" t="s">
        <v>331</v>
      </c>
      <c r="H29">
        <v>70</v>
      </c>
      <c r="I29">
        <v>1</v>
      </c>
      <c r="J29">
        <v>1</v>
      </c>
      <c r="K29" t="s">
        <v>257</v>
      </c>
      <c r="L29">
        <v>2024</v>
      </c>
      <c r="M29">
        <v>0</v>
      </c>
      <c r="N29">
        <v>0</v>
      </c>
      <c r="O29" t="s">
        <v>82</v>
      </c>
      <c r="P29">
        <v>1</v>
      </c>
      <c r="Q29" t="s">
        <v>168</v>
      </c>
      <c r="R29" t="s">
        <v>168</v>
      </c>
      <c r="S29" t="s">
        <v>168</v>
      </c>
      <c r="T29" t="s">
        <v>168</v>
      </c>
      <c r="U29" t="s">
        <v>169</v>
      </c>
      <c r="V29" t="s">
        <v>169</v>
      </c>
      <c r="W29" t="s">
        <v>169</v>
      </c>
      <c r="X29" s="5">
        <v>44970</v>
      </c>
      <c r="Y29" s="5">
        <v>45179</v>
      </c>
      <c r="Z29" s="5">
        <v>45552</v>
      </c>
      <c r="AA29" s="5">
        <v>45552</v>
      </c>
      <c r="AB29" t="s">
        <v>171</v>
      </c>
      <c r="AC29" t="s">
        <v>172</v>
      </c>
      <c r="AD29" t="s">
        <v>178</v>
      </c>
      <c r="AE29" t="s">
        <v>169</v>
      </c>
    </row>
    <row r="30" spans="1:31" x14ac:dyDescent="0.25">
      <c r="A30">
        <v>640852831</v>
      </c>
      <c r="B30" t="s">
        <v>28</v>
      </c>
      <c r="C30" s="7" t="s">
        <v>438</v>
      </c>
      <c r="D30" s="7"/>
      <c r="E30" s="7">
        <v>28</v>
      </c>
      <c r="F30" s="7">
        <v>398</v>
      </c>
      <c r="G30" s="7" t="s">
        <v>355</v>
      </c>
      <c r="H30" s="7">
        <v>59</v>
      </c>
      <c r="I30" s="7">
        <v>30</v>
      </c>
      <c r="J30">
        <v>1</v>
      </c>
      <c r="K30" t="s">
        <v>83</v>
      </c>
      <c r="L30">
        <v>2024</v>
      </c>
      <c r="M30">
        <v>0</v>
      </c>
      <c r="N30">
        <v>0</v>
      </c>
      <c r="O30" t="s">
        <v>83</v>
      </c>
      <c r="P30">
        <v>1</v>
      </c>
      <c r="Q30" t="s">
        <v>168</v>
      </c>
      <c r="R30" t="s">
        <v>168</v>
      </c>
      <c r="S30" t="s">
        <v>168</v>
      </c>
      <c r="T30" t="s">
        <v>168</v>
      </c>
      <c r="U30" t="s">
        <v>169</v>
      </c>
      <c r="V30" t="s">
        <v>169</v>
      </c>
      <c r="W30" t="s">
        <v>169</v>
      </c>
      <c r="X30" s="5">
        <v>44918</v>
      </c>
      <c r="Y30" s="5">
        <v>45352</v>
      </c>
      <c r="Z30" s="5">
        <v>45716</v>
      </c>
      <c r="AA30" s="5">
        <v>45731</v>
      </c>
      <c r="AB30" t="s">
        <v>170</v>
      </c>
      <c r="AC30" t="s">
        <v>172</v>
      </c>
      <c r="AD30" t="s">
        <v>180</v>
      </c>
      <c r="AE30" t="s">
        <v>169</v>
      </c>
    </row>
    <row r="31" spans="1:31" x14ac:dyDescent="0.25">
      <c r="A31">
        <v>640852831</v>
      </c>
      <c r="B31" t="s">
        <v>28</v>
      </c>
      <c r="C31" t="s">
        <v>414</v>
      </c>
      <c r="E31">
        <v>29</v>
      </c>
      <c r="F31">
        <v>399</v>
      </c>
      <c r="G31" t="s">
        <v>355</v>
      </c>
      <c r="H31">
        <v>59</v>
      </c>
      <c r="I31">
        <v>18</v>
      </c>
      <c r="J31">
        <v>1</v>
      </c>
      <c r="K31" t="s">
        <v>84</v>
      </c>
      <c r="L31">
        <v>2024</v>
      </c>
      <c r="M31">
        <v>0</v>
      </c>
      <c r="N31">
        <v>0</v>
      </c>
      <c r="O31" t="s">
        <v>84</v>
      </c>
      <c r="P31">
        <v>1</v>
      </c>
      <c r="Q31" t="s">
        <v>168</v>
      </c>
      <c r="R31" t="s">
        <v>168</v>
      </c>
      <c r="S31" t="s">
        <v>168</v>
      </c>
      <c r="T31" t="s">
        <v>168</v>
      </c>
      <c r="U31" t="s">
        <v>169</v>
      </c>
      <c r="V31" t="s">
        <v>169</v>
      </c>
      <c r="W31" t="s">
        <v>169</v>
      </c>
      <c r="X31" s="5">
        <v>44918</v>
      </c>
      <c r="Y31" s="5">
        <v>45472</v>
      </c>
      <c r="Z31" s="5">
        <v>45615</v>
      </c>
      <c r="AA31" s="5">
        <v>45660</v>
      </c>
      <c r="AB31" t="s">
        <v>170</v>
      </c>
      <c r="AC31" t="s">
        <v>172</v>
      </c>
      <c r="AD31" t="s">
        <v>180</v>
      </c>
      <c r="AE31" t="s">
        <v>169</v>
      </c>
    </row>
    <row r="32" spans="1:31" x14ac:dyDescent="0.25">
      <c r="A32">
        <v>640852834</v>
      </c>
      <c r="B32" t="s">
        <v>38</v>
      </c>
      <c r="C32" s="7" t="s">
        <v>439</v>
      </c>
      <c r="D32" s="7"/>
      <c r="E32" s="7">
        <v>30</v>
      </c>
      <c r="F32" s="7">
        <v>400</v>
      </c>
      <c r="G32" s="7" t="s">
        <v>355</v>
      </c>
      <c r="H32" s="7">
        <v>61</v>
      </c>
      <c r="I32" s="7">
        <v>31</v>
      </c>
      <c r="J32">
        <v>1</v>
      </c>
      <c r="K32" t="s">
        <v>280</v>
      </c>
      <c r="L32">
        <v>2024</v>
      </c>
      <c r="M32">
        <v>0</v>
      </c>
      <c r="N32">
        <v>0</v>
      </c>
      <c r="O32" t="s">
        <v>85</v>
      </c>
      <c r="P32">
        <v>1</v>
      </c>
      <c r="Q32" t="s">
        <v>168</v>
      </c>
      <c r="R32" t="s">
        <v>168</v>
      </c>
      <c r="S32" t="s">
        <v>168</v>
      </c>
      <c r="T32" t="s">
        <v>168</v>
      </c>
      <c r="U32" t="s">
        <v>169</v>
      </c>
      <c r="V32" t="s">
        <v>169</v>
      </c>
      <c r="W32" t="s">
        <v>169</v>
      </c>
      <c r="X32" s="5">
        <v>44936</v>
      </c>
      <c r="Y32" s="5">
        <v>45145</v>
      </c>
      <c r="Z32" s="5">
        <v>45457</v>
      </c>
      <c r="AA32" s="5">
        <v>45467</v>
      </c>
      <c r="AB32" t="s">
        <v>171</v>
      </c>
      <c r="AC32" t="s">
        <v>172</v>
      </c>
      <c r="AD32" t="s">
        <v>178</v>
      </c>
      <c r="AE32" t="s">
        <v>169</v>
      </c>
    </row>
    <row r="33" spans="1:31" x14ac:dyDescent="0.25">
      <c r="A33">
        <v>640853808</v>
      </c>
      <c r="B33" t="s">
        <v>33</v>
      </c>
      <c r="C33" s="7" t="s">
        <v>420</v>
      </c>
      <c r="D33" s="7"/>
      <c r="E33" s="7">
        <v>31</v>
      </c>
      <c r="F33" s="7">
        <v>407</v>
      </c>
      <c r="G33" s="7" t="s">
        <v>355</v>
      </c>
      <c r="H33" s="7">
        <v>101</v>
      </c>
      <c r="I33" s="7">
        <v>23</v>
      </c>
      <c r="J33">
        <v>1</v>
      </c>
      <c r="K33" t="s">
        <v>281</v>
      </c>
      <c r="L33">
        <v>2024</v>
      </c>
      <c r="M33">
        <v>0</v>
      </c>
      <c r="N33">
        <v>0</v>
      </c>
      <c r="O33" t="s">
        <v>86</v>
      </c>
      <c r="P33">
        <v>1</v>
      </c>
      <c r="Q33" t="s">
        <v>168</v>
      </c>
      <c r="R33" t="s">
        <v>168</v>
      </c>
      <c r="S33" t="s">
        <v>168</v>
      </c>
      <c r="T33" t="s">
        <v>168</v>
      </c>
      <c r="U33" t="s">
        <v>169</v>
      </c>
      <c r="V33" t="s">
        <v>169</v>
      </c>
      <c r="W33" t="s">
        <v>169</v>
      </c>
      <c r="X33" s="5">
        <v>44970</v>
      </c>
      <c r="Y33" s="5">
        <v>45485</v>
      </c>
      <c r="Z33" s="5">
        <v>45771</v>
      </c>
      <c r="AA33" s="5">
        <v>45842</v>
      </c>
      <c r="AB33" t="s">
        <v>171</v>
      </c>
      <c r="AC33" t="s">
        <v>172</v>
      </c>
      <c r="AD33" t="s">
        <v>178</v>
      </c>
      <c r="AE33" t="s">
        <v>169</v>
      </c>
    </row>
    <row r="34" spans="1:31" x14ac:dyDescent="0.25">
      <c r="A34">
        <v>640852811</v>
      </c>
      <c r="B34" t="s">
        <v>31</v>
      </c>
      <c r="C34" t="s">
        <v>418</v>
      </c>
      <c r="E34">
        <v>32</v>
      </c>
      <c r="F34">
        <v>408</v>
      </c>
      <c r="G34" t="s">
        <v>332</v>
      </c>
      <c r="H34">
        <v>64</v>
      </c>
      <c r="I34">
        <v>11</v>
      </c>
      <c r="J34">
        <v>1</v>
      </c>
      <c r="K34" t="s">
        <v>250</v>
      </c>
      <c r="L34">
        <v>2024</v>
      </c>
      <c r="M34">
        <v>0</v>
      </c>
      <c r="N34">
        <v>0</v>
      </c>
      <c r="O34" t="s">
        <v>87</v>
      </c>
      <c r="P34">
        <v>1</v>
      </c>
      <c r="Q34" t="s">
        <v>168</v>
      </c>
      <c r="R34" t="s">
        <v>168</v>
      </c>
      <c r="S34" t="s">
        <v>168</v>
      </c>
      <c r="T34" t="s">
        <v>168</v>
      </c>
      <c r="U34" t="s">
        <v>169</v>
      </c>
      <c r="V34" t="s">
        <v>169</v>
      </c>
      <c r="W34" t="s">
        <v>169</v>
      </c>
      <c r="X34" s="5">
        <v>44972</v>
      </c>
      <c r="Y34" s="5">
        <v>45041</v>
      </c>
      <c r="Z34" s="5">
        <v>45069</v>
      </c>
      <c r="AA34" s="5">
        <v>45500</v>
      </c>
      <c r="AB34" t="s">
        <v>171</v>
      </c>
      <c r="AC34" t="s">
        <v>172</v>
      </c>
      <c r="AD34" t="s">
        <v>173</v>
      </c>
      <c r="AE34" t="s">
        <v>169</v>
      </c>
    </row>
    <row r="35" spans="1:31" x14ac:dyDescent="0.25">
      <c r="A35">
        <v>640852828</v>
      </c>
      <c r="B35" t="s">
        <v>37</v>
      </c>
      <c r="C35" t="s">
        <v>416</v>
      </c>
      <c r="E35">
        <v>33</v>
      </c>
      <c r="F35">
        <v>409</v>
      </c>
      <c r="G35" t="s">
        <v>328</v>
      </c>
      <c r="H35">
        <v>70</v>
      </c>
      <c r="I35">
        <v>1</v>
      </c>
      <c r="J35">
        <v>1</v>
      </c>
      <c r="K35" t="s">
        <v>258</v>
      </c>
      <c r="L35">
        <v>2024</v>
      </c>
      <c r="M35">
        <v>0</v>
      </c>
      <c r="N35">
        <v>0</v>
      </c>
      <c r="O35" t="s">
        <v>88</v>
      </c>
      <c r="P35">
        <v>1</v>
      </c>
      <c r="Q35" t="s">
        <v>168</v>
      </c>
      <c r="R35" t="s">
        <v>168</v>
      </c>
      <c r="S35" t="s">
        <v>168</v>
      </c>
      <c r="T35" t="s">
        <v>168</v>
      </c>
      <c r="U35" t="s">
        <v>169</v>
      </c>
      <c r="V35" t="s">
        <v>169</v>
      </c>
      <c r="W35" t="s">
        <v>169</v>
      </c>
      <c r="X35" s="5">
        <v>44970</v>
      </c>
      <c r="Y35" s="5">
        <v>45179</v>
      </c>
      <c r="Z35" s="5">
        <v>45565</v>
      </c>
      <c r="AA35" s="5">
        <v>45565</v>
      </c>
      <c r="AB35" t="s">
        <v>171</v>
      </c>
      <c r="AC35" t="s">
        <v>172</v>
      </c>
      <c r="AD35" t="s">
        <v>178</v>
      </c>
      <c r="AE35" t="s">
        <v>169</v>
      </c>
    </row>
    <row r="36" spans="1:31" x14ac:dyDescent="0.25">
      <c r="A36">
        <v>640852828</v>
      </c>
      <c r="B36" t="s">
        <v>37</v>
      </c>
      <c r="C36" t="s">
        <v>416</v>
      </c>
      <c r="E36">
        <v>34</v>
      </c>
      <c r="F36">
        <v>410</v>
      </c>
      <c r="G36" t="s">
        <v>329</v>
      </c>
      <c r="H36">
        <v>70</v>
      </c>
      <c r="I36">
        <v>1</v>
      </c>
      <c r="J36">
        <v>1</v>
      </c>
      <c r="K36" t="s">
        <v>259</v>
      </c>
      <c r="L36">
        <v>2024</v>
      </c>
      <c r="M36">
        <v>0</v>
      </c>
      <c r="N36">
        <v>0</v>
      </c>
      <c r="O36" t="s">
        <v>89</v>
      </c>
      <c r="P36">
        <v>1</v>
      </c>
      <c r="Q36" t="s">
        <v>168</v>
      </c>
      <c r="R36" t="s">
        <v>168</v>
      </c>
      <c r="S36" t="s">
        <v>168</v>
      </c>
      <c r="T36" t="s">
        <v>168</v>
      </c>
      <c r="U36" t="s">
        <v>169</v>
      </c>
      <c r="V36" t="s">
        <v>169</v>
      </c>
      <c r="W36" t="s">
        <v>169</v>
      </c>
      <c r="X36" s="5">
        <v>44970</v>
      </c>
      <c r="Y36" s="5">
        <v>45179</v>
      </c>
      <c r="Z36" s="5">
        <v>45565</v>
      </c>
      <c r="AA36" s="5">
        <v>45565</v>
      </c>
      <c r="AB36" t="s">
        <v>171</v>
      </c>
      <c r="AC36" t="s">
        <v>172</v>
      </c>
      <c r="AD36" t="s">
        <v>178</v>
      </c>
      <c r="AE36" t="s">
        <v>169</v>
      </c>
    </row>
    <row r="37" spans="1:31" x14ac:dyDescent="0.25">
      <c r="A37">
        <v>640852828</v>
      </c>
      <c r="B37" t="s">
        <v>37</v>
      </c>
      <c r="C37" t="s">
        <v>418</v>
      </c>
      <c r="E37">
        <v>35</v>
      </c>
      <c r="F37">
        <v>411</v>
      </c>
      <c r="G37" t="s">
        <v>330</v>
      </c>
      <c r="H37">
        <v>70</v>
      </c>
      <c r="I37">
        <v>11</v>
      </c>
      <c r="J37">
        <v>1</v>
      </c>
      <c r="K37" t="s">
        <v>260</v>
      </c>
      <c r="L37">
        <v>2024</v>
      </c>
      <c r="M37">
        <v>0</v>
      </c>
      <c r="N37">
        <v>0</v>
      </c>
      <c r="O37" t="s">
        <v>90</v>
      </c>
      <c r="P37">
        <v>1</v>
      </c>
      <c r="Q37" t="s">
        <v>168</v>
      </c>
      <c r="R37" t="s">
        <v>168</v>
      </c>
      <c r="S37" t="s">
        <v>168</v>
      </c>
      <c r="T37" t="s">
        <v>168</v>
      </c>
      <c r="U37" t="s">
        <v>169</v>
      </c>
      <c r="V37" t="s">
        <v>169</v>
      </c>
      <c r="W37" t="s">
        <v>169</v>
      </c>
      <c r="X37" s="5">
        <v>44970</v>
      </c>
      <c r="Y37" s="5">
        <v>45179</v>
      </c>
      <c r="Z37" s="5">
        <v>45565</v>
      </c>
      <c r="AA37" s="5">
        <v>45565</v>
      </c>
      <c r="AB37" t="s">
        <v>171</v>
      </c>
      <c r="AC37" t="s">
        <v>172</v>
      </c>
      <c r="AD37" t="s">
        <v>178</v>
      </c>
      <c r="AE37" t="s">
        <v>169</v>
      </c>
    </row>
    <row r="38" spans="1:31" x14ac:dyDescent="0.25">
      <c r="A38">
        <v>640852828</v>
      </c>
      <c r="B38" t="s">
        <v>37</v>
      </c>
      <c r="C38" t="s">
        <v>417</v>
      </c>
      <c r="E38">
        <v>36</v>
      </c>
      <c r="F38">
        <v>412</v>
      </c>
      <c r="G38" t="s">
        <v>332</v>
      </c>
      <c r="H38">
        <v>70</v>
      </c>
      <c r="I38">
        <v>15</v>
      </c>
      <c r="J38">
        <v>1</v>
      </c>
      <c r="K38" t="s">
        <v>261</v>
      </c>
      <c r="L38">
        <v>2024</v>
      </c>
      <c r="M38">
        <v>0</v>
      </c>
      <c r="N38">
        <v>0</v>
      </c>
      <c r="O38" t="s">
        <v>91</v>
      </c>
      <c r="P38">
        <v>1</v>
      </c>
      <c r="Q38" t="s">
        <v>168</v>
      </c>
      <c r="R38" t="s">
        <v>168</v>
      </c>
      <c r="S38" t="s">
        <v>168</v>
      </c>
      <c r="T38" t="s">
        <v>168</v>
      </c>
      <c r="U38" t="s">
        <v>169</v>
      </c>
      <c r="V38" t="s">
        <v>169</v>
      </c>
      <c r="W38" t="s">
        <v>169</v>
      </c>
      <c r="X38" s="5">
        <v>44970</v>
      </c>
      <c r="Y38" s="5">
        <v>45179</v>
      </c>
      <c r="Z38" s="5">
        <v>45565</v>
      </c>
      <c r="AA38" s="5">
        <v>45565</v>
      </c>
      <c r="AB38" t="s">
        <v>171</v>
      </c>
      <c r="AC38" t="s">
        <v>172</v>
      </c>
      <c r="AD38" t="s">
        <v>178</v>
      </c>
      <c r="AE38" t="s">
        <v>169</v>
      </c>
    </row>
    <row r="39" spans="1:31" x14ac:dyDescent="0.25">
      <c r="A39">
        <v>640852828</v>
      </c>
      <c r="B39" t="s">
        <v>37</v>
      </c>
      <c r="C39" t="s">
        <v>421</v>
      </c>
      <c r="E39">
        <v>37</v>
      </c>
      <c r="F39">
        <v>413</v>
      </c>
      <c r="G39" t="s">
        <v>356</v>
      </c>
      <c r="H39">
        <v>70</v>
      </c>
      <c r="I39">
        <v>16</v>
      </c>
      <c r="J39">
        <v>1</v>
      </c>
      <c r="K39" t="s">
        <v>262</v>
      </c>
      <c r="L39">
        <v>2024</v>
      </c>
      <c r="M39">
        <v>0</v>
      </c>
      <c r="N39">
        <v>0</v>
      </c>
      <c r="O39" t="s">
        <v>92</v>
      </c>
      <c r="P39">
        <v>1</v>
      </c>
      <c r="Q39" t="s">
        <v>168</v>
      </c>
      <c r="R39" t="s">
        <v>168</v>
      </c>
      <c r="S39" t="s">
        <v>168</v>
      </c>
      <c r="T39" t="s">
        <v>168</v>
      </c>
      <c r="U39" t="s">
        <v>169</v>
      </c>
      <c r="V39" t="s">
        <v>169</v>
      </c>
      <c r="W39" t="s">
        <v>169</v>
      </c>
      <c r="X39" s="5">
        <v>44970</v>
      </c>
      <c r="Y39" s="5">
        <v>45179</v>
      </c>
      <c r="Z39" s="5">
        <v>45565</v>
      </c>
      <c r="AA39" s="5">
        <v>45565</v>
      </c>
      <c r="AB39" t="s">
        <v>171</v>
      </c>
      <c r="AC39" t="s">
        <v>172</v>
      </c>
      <c r="AD39" t="s">
        <v>178</v>
      </c>
      <c r="AE39" t="s">
        <v>169</v>
      </c>
    </row>
    <row r="40" spans="1:31" x14ac:dyDescent="0.25">
      <c r="A40">
        <v>640852828</v>
      </c>
      <c r="B40" t="s">
        <v>37</v>
      </c>
      <c r="C40" t="s">
        <v>416</v>
      </c>
      <c r="E40">
        <v>38</v>
      </c>
      <c r="F40">
        <v>414</v>
      </c>
      <c r="G40" t="s">
        <v>357</v>
      </c>
      <c r="H40">
        <v>70</v>
      </c>
      <c r="I40">
        <v>1</v>
      </c>
      <c r="J40">
        <v>1</v>
      </c>
      <c r="K40" t="s">
        <v>263</v>
      </c>
      <c r="L40">
        <v>2024</v>
      </c>
      <c r="M40">
        <v>0</v>
      </c>
      <c r="N40">
        <v>0</v>
      </c>
      <c r="O40" t="s">
        <v>93</v>
      </c>
      <c r="P40">
        <v>1</v>
      </c>
      <c r="Q40" t="s">
        <v>168</v>
      </c>
      <c r="R40" t="s">
        <v>168</v>
      </c>
      <c r="S40" t="s">
        <v>168</v>
      </c>
      <c r="T40" t="s">
        <v>168</v>
      </c>
      <c r="U40" t="s">
        <v>169</v>
      </c>
      <c r="V40" t="s">
        <v>169</v>
      </c>
      <c r="W40" t="s">
        <v>169</v>
      </c>
      <c r="X40" s="5">
        <v>44970</v>
      </c>
      <c r="Y40" s="5">
        <v>45179</v>
      </c>
      <c r="Z40" s="5">
        <v>45565</v>
      </c>
      <c r="AA40" s="5">
        <v>45565</v>
      </c>
      <c r="AB40" t="s">
        <v>171</v>
      </c>
      <c r="AC40" t="s">
        <v>172</v>
      </c>
      <c r="AD40" t="s">
        <v>178</v>
      </c>
      <c r="AE40" t="s">
        <v>169</v>
      </c>
    </row>
    <row r="41" spans="1:31" x14ac:dyDescent="0.25">
      <c r="A41">
        <v>640852828</v>
      </c>
      <c r="B41" t="s">
        <v>37</v>
      </c>
      <c r="C41" t="s">
        <v>416</v>
      </c>
      <c r="E41">
        <v>39</v>
      </c>
      <c r="F41">
        <v>415</v>
      </c>
      <c r="G41" t="s">
        <v>358</v>
      </c>
      <c r="H41">
        <v>70</v>
      </c>
      <c r="I41">
        <v>1</v>
      </c>
      <c r="J41">
        <v>1</v>
      </c>
      <c r="K41" t="s">
        <v>264</v>
      </c>
      <c r="L41">
        <v>2024</v>
      </c>
      <c r="M41">
        <v>0</v>
      </c>
      <c r="N41">
        <v>0</v>
      </c>
      <c r="O41" t="s">
        <v>94</v>
      </c>
      <c r="P41">
        <v>1</v>
      </c>
      <c r="Q41" t="s">
        <v>168</v>
      </c>
      <c r="R41" t="s">
        <v>168</v>
      </c>
      <c r="S41" t="s">
        <v>168</v>
      </c>
      <c r="T41" t="s">
        <v>168</v>
      </c>
      <c r="U41" t="s">
        <v>169</v>
      </c>
      <c r="V41" t="s">
        <v>169</v>
      </c>
      <c r="W41" t="s">
        <v>169</v>
      </c>
      <c r="X41" s="5">
        <v>44970</v>
      </c>
      <c r="Y41" s="5">
        <v>45179</v>
      </c>
      <c r="Z41" s="5">
        <v>45565</v>
      </c>
      <c r="AA41" s="5">
        <v>45565</v>
      </c>
      <c r="AB41" t="s">
        <v>171</v>
      </c>
      <c r="AC41" t="s">
        <v>172</v>
      </c>
      <c r="AD41" t="s">
        <v>178</v>
      </c>
      <c r="AE41" t="s">
        <v>169</v>
      </c>
    </row>
    <row r="42" spans="1:31" x14ac:dyDescent="0.25">
      <c r="A42">
        <v>640852828</v>
      </c>
      <c r="B42" t="s">
        <v>37</v>
      </c>
      <c r="C42" t="s">
        <v>416</v>
      </c>
      <c r="E42">
        <v>40</v>
      </c>
      <c r="F42">
        <v>416</v>
      </c>
      <c r="G42" t="s">
        <v>359</v>
      </c>
      <c r="H42">
        <v>70</v>
      </c>
      <c r="I42">
        <v>1</v>
      </c>
      <c r="J42">
        <v>1</v>
      </c>
      <c r="K42" t="s">
        <v>265</v>
      </c>
      <c r="L42">
        <v>2024</v>
      </c>
      <c r="M42">
        <v>0</v>
      </c>
      <c r="N42">
        <v>0</v>
      </c>
      <c r="O42" t="s">
        <v>95</v>
      </c>
      <c r="P42">
        <v>1</v>
      </c>
      <c r="Q42" t="s">
        <v>168</v>
      </c>
      <c r="R42" t="s">
        <v>168</v>
      </c>
      <c r="S42" t="s">
        <v>168</v>
      </c>
      <c r="T42" t="s">
        <v>168</v>
      </c>
      <c r="U42" t="s">
        <v>169</v>
      </c>
      <c r="V42" t="s">
        <v>169</v>
      </c>
      <c r="W42" t="s">
        <v>169</v>
      </c>
      <c r="X42" s="5">
        <v>44970</v>
      </c>
      <c r="Y42" s="5">
        <v>45179</v>
      </c>
      <c r="Z42" s="5">
        <v>45565</v>
      </c>
      <c r="AA42" s="5">
        <v>45565</v>
      </c>
      <c r="AB42" t="s">
        <v>171</v>
      </c>
      <c r="AC42" t="s">
        <v>172</v>
      </c>
      <c r="AD42" t="s">
        <v>178</v>
      </c>
      <c r="AE42" t="s">
        <v>169</v>
      </c>
    </row>
    <row r="43" spans="1:31" x14ac:dyDescent="0.25">
      <c r="A43">
        <v>640852828</v>
      </c>
      <c r="B43" t="s">
        <v>37</v>
      </c>
      <c r="C43" t="s">
        <v>418</v>
      </c>
      <c r="E43">
        <v>41</v>
      </c>
      <c r="F43">
        <v>417</v>
      </c>
      <c r="G43" t="s">
        <v>360</v>
      </c>
      <c r="H43">
        <v>70</v>
      </c>
      <c r="I43">
        <v>11</v>
      </c>
      <c r="J43">
        <v>1</v>
      </c>
      <c r="K43" t="s">
        <v>266</v>
      </c>
      <c r="L43">
        <v>2024</v>
      </c>
      <c r="M43">
        <v>0</v>
      </c>
      <c r="N43">
        <v>0</v>
      </c>
      <c r="O43" t="s">
        <v>96</v>
      </c>
      <c r="P43">
        <v>1</v>
      </c>
      <c r="Q43" t="s">
        <v>168</v>
      </c>
      <c r="R43" t="s">
        <v>168</v>
      </c>
      <c r="S43" t="s">
        <v>168</v>
      </c>
      <c r="T43" t="s">
        <v>168</v>
      </c>
      <c r="U43" t="s">
        <v>169</v>
      </c>
      <c r="V43" t="s">
        <v>169</v>
      </c>
      <c r="W43" t="s">
        <v>169</v>
      </c>
      <c r="X43" s="5">
        <v>44970</v>
      </c>
      <c r="Y43" s="5">
        <v>45179</v>
      </c>
      <c r="Z43" s="5">
        <v>45565</v>
      </c>
      <c r="AA43" s="5">
        <v>45565</v>
      </c>
      <c r="AB43" t="s">
        <v>171</v>
      </c>
      <c r="AC43" t="s">
        <v>172</v>
      </c>
      <c r="AD43" t="s">
        <v>178</v>
      </c>
      <c r="AE43" t="s">
        <v>169</v>
      </c>
    </row>
    <row r="44" spans="1:31" x14ac:dyDescent="0.25">
      <c r="A44">
        <v>640852828</v>
      </c>
      <c r="B44" t="s">
        <v>37</v>
      </c>
      <c r="C44" t="s">
        <v>416</v>
      </c>
      <c r="E44">
        <v>42</v>
      </c>
      <c r="F44">
        <v>418</v>
      </c>
      <c r="G44" t="s">
        <v>361</v>
      </c>
      <c r="H44">
        <v>70</v>
      </c>
      <c r="I44">
        <v>1</v>
      </c>
      <c r="J44">
        <v>1</v>
      </c>
      <c r="K44" t="s">
        <v>267</v>
      </c>
      <c r="L44">
        <v>2024</v>
      </c>
      <c r="M44">
        <v>0</v>
      </c>
      <c r="N44">
        <v>0</v>
      </c>
      <c r="O44" t="s">
        <v>97</v>
      </c>
      <c r="P44">
        <v>1</v>
      </c>
      <c r="Q44" t="s">
        <v>168</v>
      </c>
      <c r="R44" t="s">
        <v>168</v>
      </c>
      <c r="S44" t="s">
        <v>168</v>
      </c>
      <c r="T44" t="s">
        <v>168</v>
      </c>
      <c r="U44" t="s">
        <v>169</v>
      </c>
      <c r="V44" t="s">
        <v>169</v>
      </c>
      <c r="W44" t="s">
        <v>169</v>
      </c>
      <c r="X44" s="5">
        <v>44970</v>
      </c>
      <c r="Y44" s="5">
        <v>45179</v>
      </c>
      <c r="Z44" s="5">
        <v>45513</v>
      </c>
      <c r="AA44" s="5">
        <v>45513</v>
      </c>
      <c r="AB44" t="s">
        <v>171</v>
      </c>
      <c r="AC44" t="s">
        <v>172</v>
      </c>
      <c r="AD44" t="s">
        <v>178</v>
      </c>
      <c r="AE44" t="s">
        <v>169</v>
      </c>
    </row>
    <row r="45" spans="1:31" x14ac:dyDescent="0.25">
      <c r="A45">
        <v>640852828</v>
      </c>
      <c r="B45" t="s">
        <v>37</v>
      </c>
      <c r="C45" t="s">
        <v>416</v>
      </c>
      <c r="E45">
        <v>43</v>
      </c>
      <c r="F45">
        <v>419</v>
      </c>
      <c r="G45" t="s">
        <v>362</v>
      </c>
      <c r="H45">
        <v>70</v>
      </c>
      <c r="I45">
        <v>1</v>
      </c>
      <c r="J45">
        <v>1</v>
      </c>
      <c r="K45" t="s">
        <v>268</v>
      </c>
      <c r="L45">
        <v>2024</v>
      </c>
      <c r="M45">
        <v>0</v>
      </c>
      <c r="N45">
        <v>0</v>
      </c>
      <c r="O45" t="s">
        <v>98</v>
      </c>
      <c r="P45">
        <v>1</v>
      </c>
      <c r="Q45" t="s">
        <v>168</v>
      </c>
      <c r="R45" t="s">
        <v>168</v>
      </c>
      <c r="S45" t="s">
        <v>168</v>
      </c>
      <c r="T45" t="s">
        <v>168</v>
      </c>
      <c r="U45" t="s">
        <v>169</v>
      </c>
      <c r="V45" t="s">
        <v>169</v>
      </c>
      <c r="W45" t="s">
        <v>169</v>
      </c>
      <c r="X45" s="5">
        <v>44970</v>
      </c>
      <c r="Y45" s="5">
        <v>45179</v>
      </c>
      <c r="Z45" s="5">
        <v>45565</v>
      </c>
      <c r="AA45" s="5">
        <v>45565</v>
      </c>
      <c r="AB45" t="s">
        <v>171</v>
      </c>
      <c r="AC45" t="s">
        <v>172</v>
      </c>
      <c r="AD45" t="s">
        <v>178</v>
      </c>
      <c r="AE45" t="s">
        <v>169</v>
      </c>
    </row>
    <row r="46" spans="1:31" x14ac:dyDescent="0.25">
      <c r="A46">
        <v>640852828</v>
      </c>
      <c r="B46" t="s">
        <v>37</v>
      </c>
      <c r="C46" t="s">
        <v>416</v>
      </c>
      <c r="E46">
        <v>44</v>
      </c>
      <c r="F46">
        <v>420</v>
      </c>
      <c r="G46" t="s">
        <v>363</v>
      </c>
      <c r="H46">
        <v>70</v>
      </c>
      <c r="I46">
        <v>1</v>
      </c>
      <c r="J46">
        <v>1</v>
      </c>
      <c r="K46" t="s">
        <v>269</v>
      </c>
      <c r="L46">
        <v>2024</v>
      </c>
      <c r="M46">
        <v>0</v>
      </c>
      <c r="N46">
        <v>0</v>
      </c>
      <c r="O46" t="s">
        <v>99</v>
      </c>
      <c r="P46">
        <v>1</v>
      </c>
      <c r="Q46" t="s">
        <v>168</v>
      </c>
      <c r="R46" t="s">
        <v>168</v>
      </c>
      <c r="S46" t="s">
        <v>168</v>
      </c>
      <c r="T46" t="s">
        <v>168</v>
      </c>
      <c r="U46" t="s">
        <v>169</v>
      </c>
      <c r="V46" t="s">
        <v>169</v>
      </c>
      <c r="W46" t="s">
        <v>169</v>
      </c>
      <c r="X46" s="5">
        <v>44970</v>
      </c>
      <c r="Y46" s="5">
        <v>45179</v>
      </c>
      <c r="Z46" s="5">
        <v>45565</v>
      </c>
      <c r="AA46" s="5">
        <v>45565</v>
      </c>
      <c r="AB46" t="s">
        <v>171</v>
      </c>
      <c r="AC46" t="s">
        <v>172</v>
      </c>
      <c r="AD46" t="s">
        <v>178</v>
      </c>
      <c r="AE46" t="s">
        <v>169</v>
      </c>
    </row>
    <row r="47" spans="1:31" x14ac:dyDescent="0.25">
      <c r="A47">
        <v>640852828</v>
      </c>
      <c r="B47" t="s">
        <v>37</v>
      </c>
      <c r="C47" t="s">
        <v>416</v>
      </c>
      <c r="E47">
        <v>45</v>
      </c>
      <c r="F47">
        <v>421</v>
      </c>
      <c r="G47" t="s">
        <v>364</v>
      </c>
      <c r="H47">
        <v>70</v>
      </c>
      <c r="I47">
        <v>1</v>
      </c>
      <c r="J47">
        <v>1</v>
      </c>
      <c r="K47" t="s">
        <v>270</v>
      </c>
      <c r="L47">
        <v>2024</v>
      </c>
      <c r="M47">
        <v>0</v>
      </c>
      <c r="N47">
        <v>0</v>
      </c>
      <c r="O47" t="s">
        <v>100</v>
      </c>
      <c r="P47">
        <v>1</v>
      </c>
      <c r="Q47" t="s">
        <v>168</v>
      </c>
      <c r="R47" t="s">
        <v>168</v>
      </c>
      <c r="S47" t="s">
        <v>168</v>
      </c>
      <c r="T47" t="s">
        <v>168</v>
      </c>
      <c r="U47" t="s">
        <v>169</v>
      </c>
      <c r="V47" t="s">
        <v>169</v>
      </c>
      <c r="W47" t="s">
        <v>169</v>
      </c>
      <c r="X47" s="5">
        <v>44970</v>
      </c>
      <c r="Y47" s="5">
        <v>45179</v>
      </c>
      <c r="Z47" s="5">
        <v>45535</v>
      </c>
      <c r="AA47" s="5">
        <v>45535</v>
      </c>
      <c r="AB47" t="s">
        <v>171</v>
      </c>
      <c r="AC47" t="s">
        <v>172</v>
      </c>
      <c r="AD47" t="s">
        <v>178</v>
      </c>
      <c r="AE47" t="s">
        <v>169</v>
      </c>
    </row>
    <row r="48" spans="1:31" x14ac:dyDescent="0.25">
      <c r="A48">
        <v>640852828</v>
      </c>
      <c r="B48" t="s">
        <v>37</v>
      </c>
      <c r="C48" t="s">
        <v>416</v>
      </c>
      <c r="E48">
        <v>46</v>
      </c>
      <c r="F48">
        <v>422</v>
      </c>
      <c r="G48" t="s">
        <v>365</v>
      </c>
      <c r="H48">
        <v>70</v>
      </c>
      <c r="I48">
        <v>1</v>
      </c>
      <c r="J48">
        <v>1</v>
      </c>
      <c r="K48" t="s">
        <v>271</v>
      </c>
      <c r="L48">
        <v>2024</v>
      </c>
      <c r="M48">
        <v>0</v>
      </c>
      <c r="N48">
        <v>0</v>
      </c>
      <c r="O48" t="s">
        <v>101</v>
      </c>
      <c r="P48">
        <v>1</v>
      </c>
      <c r="Q48" t="s">
        <v>168</v>
      </c>
      <c r="R48" t="s">
        <v>168</v>
      </c>
      <c r="S48" t="s">
        <v>168</v>
      </c>
      <c r="T48" t="s">
        <v>168</v>
      </c>
      <c r="U48" t="s">
        <v>169</v>
      </c>
      <c r="V48" t="s">
        <v>169</v>
      </c>
      <c r="W48" t="s">
        <v>169</v>
      </c>
      <c r="X48" s="5">
        <v>44970</v>
      </c>
      <c r="Y48" s="5">
        <v>45179</v>
      </c>
      <c r="Z48" s="5">
        <v>45535</v>
      </c>
      <c r="AA48" s="5">
        <v>45535</v>
      </c>
      <c r="AB48" t="s">
        <v>171</v>
      </c>
      <c r="AC48" t="s">
        <v>172</v>
      </c>
      <c r="AD48" t="s">
        <v>178</v>
      </c>
      <c r="AE48" t="s">
        <v>169</v>
      </c>
    </row>
    <row r="49" spans="1:31" x14ac:dyDescent="0.25">
      <c r="A49">
        <v>640852828</v>
      </c>
      <c r="B49" t="s">
        <v>37</v>
      </c>
      <c r="C49" t="s">
        <v>416</v>
      </c>
      <c r="E49">
        <v>47</v>
      </c>
      <c r="F49">
        <v>423</v>
      </c>
      <c r="G49" t="s">
        <v>366</v>
      </c>
      <c r="H49">
        <v>70</v>
      </c>
      <c r="I49">
        <v>1</v>
      </c>
      <c r="J49">
        <v>1</v>
      </c>
      <c r="K49" t="s">
        <v>272</v>
      </c>
      <c r="L49">
        <v>2024</v>
      </c>
      <c r="M49">
        <v>0</v>
      </c>
      <c r="N49">
        <v>0</v>
      </c>
      <c r="O49" t="s">
        <v>102</v>
      </c>
      <c r="P49">
        <v>1</v>
      </c>
      <c r="Q49" t="s">
        <v>168</v>
      </c>
      <c r="R49" t="s">
        <v>168</v>
      </c>
      <c r="S49" t="s">
        <v>168</v>
      </c>
      <c r="T49" t="s">
        <v>168</v>
      </c>
      <c r="U49" t="s">
        <v>169</v>
      </c>
      <c r="V49" t="s">
        <v>169</v>
      </c>
      <c r="W49" t="s">
        <v>169</v>
      </c>
      <c r="X49" s="5">
        <v>44970</v>
      </c>
      <c r="Y49" s="5">
        <v>45179</v>
      </c>
      <c r="Z49" s="5">
        <v>45565</v>
      </c>
      <c r="AA49" s="5">
        <v>45565</v>
      </c>
      <c r="AB49" t="s">
        <v>171</v>
      </c>
      <c r="AC49" t="s">
        <v>172</v>
      </c>
      <c r="AD49" t="s">
        <v>178</v>
      </c>
      <c r="AE49" t="s">
        <v>169</v>
      </c>
    </row>
    <row r="50" spans="1:31" x14ac:dyDescent="0.25">
      <c r="A50">
        <v>640853811</v>
      </c>
      <c r="B50" t="s">
        <v>39</v>
      </c>
      <c r="C50" t="s">
        <v>416</v>
      </c>
      <c r="E50">
        <v>48</v>
      </c>
      <c r="F50">
        <v>440</v>
      </c>
      <c r="G50" t="s">
        <v>355</v>
      </c>
      <c r="H50">
        <v>84</v>
      </c>
      <c r="I50">
        <v>1</v>
      </c>
      <c r="J50">
        <v>1</v>
      </c>
      <c r="K50" t="s">
        <v>282</v>
      </c>
      <c r="L50">
        <v>2024</v>
      </c>
      <c r="M50">
        <v>0</v>
      </c>
      <c r="N50">
        <v>0</v>
      </c>
      <c r="O50" t="s">
        <v>103</v>
      </c>
      <c r="P50">
        <v>1</v>
      </c>
      <c r="Q50" t="s">
        <v>168</v>
      </c>
      <c r="R50" t="s">
        <v>168</v>
      </c>
      <c r="S50" t="s">
        <v>168</v>
      </c>
      <c r="T50" t="s">
        <v>168</v>
      </c>
      <c r="U50" t="s">
        <v>169</v>
      </c>
      <c r="V50" t="s">
        <v>169</v>
      </c>
      <c r="W50" t="s">
        <v>169</v>
      </c>
      <c r="X50" s="5">
        <v>45001</v>
      </c>
      <c r="Y50" s="5">
        <v>45210</v>
      </c>
      <c r="Z50" s="5">
        <v>45534</v>
      </c>
      <c r="AA50" s="5">
        <v>45586</v>
      </c>
      <c r="AB50" t="s">
        <v>171</v>
      </c>
      <c r="AC50" t="s">
        <v>172</v>
      </c>
      <c r="AD50" t="s">
        <v>173</v>
      </c>
      <c r="AE50" t="s">
        <v>169</v>
      </c>
    </row>
    <row r="51" spans="1:31" x14ac:dyDescent="0.25">
      <c r="A51">
        <v>640852812</v>
      </c>
      <c r="B51" t="s">
        <v>40</v>
      </c>
      <c r="C51" s="7" t="s">
        <v>419</v>
      </c>
      <c r="D51" s="7"/>
      <c r="E51" s="7">
        <v>49</v>
      </c>
      <c r="F51" s="7">
        <v>451</v>
      </c>
      <c r="G51" s="7" t="s">
        <v>356</v>
      </c>
      <c r="H51" s="7">
        <v>65</v>
      </c>
      <c r="I51" s="7">
        <v>33</v>
      </c>
      <c r="J51">
        <v>1</v>
      </c>
      <c r="K51" t="s">
        <v>283</v>
      </c>
      <c r="L51">
        <v>2024</v>
      </c>
      <c r="M51">
        <v>0</v>
      </c>
      <c r="N51">
        <v>0</v>
      </c>
      <c r="O51" t="s">
        <v>104</v>
      </c>
      <c r="P51">
        <v>1</v>
      </c>
      <c r="Q51" t="s">
        <v>168</v>
      </c>
      <c r="R51" t="s">
        <v>168</v>
      </c>
      <c r="S51" t="s">
        <v>168</v>
      </c>
      <c r="T51" t="s">
        <v>168</v>
      </c>
      <c r="U51" t="s">
        <v>169</v>
      </c>
      <c r="V51" t="s">
        <v>169</v>
      </c>
      <c r="W51" t="s">
        <v>169</v>
      </c>
      <c r="X51" s="5">
        <v>45014</v>
      </c>
      <c r="Y51" s="5">
        <v>45088</v>
      </c>
      <c r="Z51" s="5">
        <v>45240</v>
      </c>
      <c r="AA51" s="5">
        <v>45402</v>
      </c>
      <c r="AB51" t="s">
        <v>171</v>
      </c>
      <c r="AC51" t="s">
        <v>172</v>
      </c>
      <c r="AD51" t="s">
        <v>173</v>
      </c>
      <c r="AE51" t="s">
        <v>169</v>
      </c>
    </row>
    <row r="52" spans="1:31" x14ac:dyDescent="0.25">
      <c r="A52">
        <v>640853818</v>
      </c>
      <c r="B52" t="s">
        <v>34</v>
      </c>
      <c r="C52" t="s">
        <v>416</v>
      </c>
      <c r="E52">
        <v>50</v>
      </c>
      <c r="F52">
        <v>452</v>
      </c>
      <c r="G52" t="s">
        <v>355</v>
      </c>
      <c r="H52">
        <v>131</v>
      </c>
      <c r="I52">
        <v>1</v>
      </c>
      <c r="J52">
        <v>1</v>
      </c>
      <c r="K52" t="s">
        <v>334</v>
      </c>
      <c r="L52">
        <v>2024</v>
      </c>
      <c r="M52">
        <v>0</v>
      </c>
      <c r="N52">
        <v>0</v>
      </c>
      <c r="O52" t="s">
        <v>105</v>
      </c>
      <c r="P52">
        <v>1</v>
      </c>
      <c r="Q52" t="s">
        <v>168</v>
      </c>
      <c r="R52" t="s">
        <v>168</v>
      </c>
      <c r="S52" t="s">
        <v>168</v>
      </c>
      <c r="T52" t="s">
        <v>168</v>
      </c>
      <c r="U52" t="s">
        <v>169</v>
      </c>
      <c r="V52" t="s">
        <v>169</v>
      </c>
      <c r="W52" t="s">
        <v>169</v>
      </c>
      <c r="X52" s="5">
        <v>45021</v>
      </c>
      <c r="Y52" s="5">
        <v>45325</v>
      </c>
      <c r="Z52" s="5">
        <v>45546</v>
      </c>
      <c r="AA52" s="5">
        <v>45562</v>
      </c>
      <c r="AB52" t="s">
        <v>171</v>
      </c>
      <c r="AC52" t="s">
        <v>172</v>
      </c>
      <c r="AD52" t="s">
        <v>178</v>
      </c>
      <c r="AE52" t="s">
        <v>169</v>
      </c>
    </row>
    <row r="53" spans="1:31" x14ac:dyDescent="0.25">
      <c r="A53">
        <v>640853823</v>
      </c>
      <c r="B53" t="s">
        <v>30</v>
      </c>
      <c r="C53" t="s">
        <v>416</v>
      </c>
      <c r="E53">
        <v>51</v>
      </c>
      <c r="F53">
        <v>462</v>
      </c>
      <c r="G53" t="s">
        <v>355</v>
      </c>
      <c r="H53">
        <v>85</v>
      </c>
      <c r="I53">
        <v>1</v>
      </c>
      <c r="J53">
        <v>1</v>
      </c>
      <c r="K53" t="s">
        <v>335</v>
      </c>
      <c r="L53">
        <v>2024</v>
      </c>
      <c r="M53">
        <v>0</v>
      </c>
      <c r="N53">
        <v>0</v>
      </c>
      <c r="O53" t="s">
        <v>106</v>
      </c>
      <c r="P53">
        <v>1</v>
      </c>
      <c r="Q53" t="s">
        <v>168</v>
      </c>
      <c r="R53" t="s">
        <v>168</v>
      </c>
      <c r="S53" t="s">
        <v>168</v>
      </c>
      <c r="T53" t="s">
        <v>168</v>
      </c>
      <c r="U53" t="s">
        <v>169</v>
      </c>
      <c r="V53" t="s">
        <v>169</v>
      </c>
      <c r="W53" t="s">
        <v>169</v>
      </c>
      <c r="X53" s="5">
        <v>45037</v>
      </c>
      <c r="Y53" s="5">
        <v>45246</v>
      </c>
      <c r="Z53" s="5">
        <v>45534</v>
      </c>
      <c r="AA53" s="5">
        <v>45586</v>
      </c>
      <c r="AB53" t="s">
        <v>171</v>
      </c>
      <c r="AC53" t="s">
        <v>172</v>
      </c>
      <c r="AD53" t="s">
        <v>173</v>
      </c>
      <c r="AE53" t="s">
        <v>169</v>
      </c>
    </row>
    <row r="54" spans="1:31" x14ac:dyDescent="0.25">
      <c r="A54">
        <v>640852812</v>
      </c>
      <c r="B54" t="s">
        <v>40</v>
      </c>
      <c r="C54" s="7" t="s">
        <v>419</v>
      </c>
      <c r="D54" s="7"/>
      <c r="E54" s="7">
        <v>52</v>
      </c>
      <c r="F54" s="7">
        <v>463</v>
      </c>
      <c r="G54" s="7" t="s">
        <v>357</v>
      </c>
      <c r="H54" s="7">
        <v>65</v>
      </c>
      <c r="I54" s="7">
        <v>33</v>
      </c>
      <c r="J54">
        <v>1</v>
      </c>
      <c r="K54" t="s">
        <v>284</v>
      </c>
      <c r="L54">
        <v>2024</v>
      </c>
      <c r="M54">
        <v>0</v>
      </c>
      <c r="N54">
        <v>0</v>
      </c>
      <c r="O54" t="s">
        <v>107</v>
      </c>
      <c r="P54">
        <v>1</v>
      </c>
      <c r="Q54" t="s">
        <v>168</v>
      </c>
      <c r="R54" t="s">
        <v>168</v>
      </c>
      <c r="S54" t="s">
        <v>168</v>
      </c>
      <c r="T54" t="s">
        <v>168</v>
      </c>
      <c r="U54" t="s">
        <v>169</v>
      </c>
      <c r="V54" t="s">
        <v>169</v>
      </c>
      <c r="W54" t="s">
        <v>169</v>
      </c>
      <c r="X54" s="5">
        <v>45019</v>
      </c>
      <c r="Y54" s="5">
        <v>45100</v>
      </c>
      <c r="Z54" s="5"/>
      <c r="AA54" s="5"/>
      <c r="AB54" t="s">
        <v>171</v>
      </c>
      <c r="AC54" t="s">
        <v>172</v>
      </c>
      <c r="AD54" t="s">
        <v>173</v>
      </c>
      <c r="AE54" t="s">
        <v>169</v>
      </c>
    </row>
    <row r="55" spans="1:31" x14ac:dyDescent="0.25">
      <c r="A55">
        <v>640852812</v>
      </c>
      <c r="B55" t="s">
        <v>40</v>
      </c>
      <c r="C55" s="7" t="s">
        <v>419</v>
      </c>
      <c r="D55" s="7"/>
      <c r="E55" s="7">
        <v>53</v>
      </c>
      <c r="F55" s="7">
        <v>467</v>
      </c>
      <c r="G55" s="7" t="s">
        <v>358</v>
      </c>
      <c r="H55" s="7">
        <v>65</v>
      </c>
      <c r="I55" s="7">
        <v>33</v>
      </c>
      <c r="J55">
        <v>1</v>
      </c>
      <c r="K55" t="s">
        <v>285</v>
      </c>
      <c r="L55">
        <v>2024</v>
      </c>
      <c r="M55">
        <v>0</v>
      </c>
      <c r="N55">
        <v>0</v>
      </c>
      <c r="O55" t="s">
        <v>108</v>
      </c>
      <c r="P55">
        <v>1</v>
      </c>
      <c r="Q55" t="s">
        <v>168</v>
      </c>
      <c r="R55" t="s">
        <v>168</v>
      </c>
      <c r="S55" t="s">
        <v>168</v>
      </c>
      <c r="T55" t="s">
        <v>168</v>
      </c>
      <c r="U55" t="s">
        <v>169</v>
      </c>
      <c r="V55" t="s">
        <v>169</v>
      </c>
      <c r="W55" t="s">
        <v>169</v>
      </c>
      <c r="X55" s="5">
        <v>45048</v>
      </c>
      <c r="Y55" s="5">
        <v>45268</v>
      </c>
      <c r="Z55" s="5">
        <v>45304</v>
      </c>
      <c r="AA55" s="5">
        <v>45412</v>
      </c>
      <c r="AB55" t="s">
        <v>171</v>
      </c>
      <c r="AC55" t="s">
        <v>172</v>
      </c>
      <c r="AD55" t="s">
        <v>173</v>
      </c>
      <c r="AE55" t="s">
        <v>169</v>
      </c>
    </row>
    <row r="56" spans="1:31" x14ac:dyDescent="0.25">
      <c r="A56">
        <v>640852812</v>
      </c>
      <c r="B56" t="s">
        <v>40</v>
      </c>
      <c r="C56" t="s">
        <v>440</v>
      </c>
      <c r="E56">
        <v>54</v>
      </c>
      <c r="F56">
        <v>468</v>
      </c>
      <c r="G56" t="s">
        <v>359</v>
      </c>
      <c r="H56">
        <v>65</v>
      </c>
      <c r="I56">
        <v>36</v>
      </c>
      <c r="J56">
        <v>1</v>
      </c>
      <c r="K56" t="s">
        <v>286</v>
      </c>
      <c r="L56">
        <v>2024</v>
      </c>
      <c r="M56">
        <v>0</v>
      </c>
      <c r="N56">
        <v>0</v>
      </c>
      <c r="O56" t="s">
        <v>109</v>
      </c>
      <c r="P56">
        <v>1</v>
      </c>
      <c r="Q56" t="s">
        <v>168</v>
      </c>
      <c r="R56" t="s">
        <v>168</v>
      </c>
      <c r="S56" t="s">
        <v>168</v>
      </c>
      <c r="T56" t="s">
        <v>168</v>
      </c>
      <c r="U56" t="s">
        <v>169</v>
      </c>
      <c r="V56" t="s">
        <v>169</v>
      </c>
      <c r="W56" t="s">
        <v>169</v>
      </c>
      <c r="X56" s="5">
        <v>45048</v>
      </c>
      <c r="Y56" s="5">
        <v>45192</v>
      </c>
      <c r="Z56" s="5">
        <v>45332</v>
      </c>
      <c r="AA56" s="5">
        <v>45412</v>
      </c>
      <c r="AB56" t="s">
        <v>171</v>
      </c>
      <c r="AC56" t="s">
        <v>172</v>
      </c>
      <c r="AD56" t="s">
        <v>173</v>
      </c>
      <c r="AE56" t="s">
        <v>169</v>
      </c>
    </row>
    <row r="57" spans="1:31" x14ac:dyDescent="0.25">
      <c r="A57">
        <v>640852811</v>
      </c>
      <c r="B57" t="s">
        <v>31</v>
      </c>
      <c r="C57" t="s">
        <v>416</v>
      </c>
      <c r="E57">
        <v>55</v>
      </c>
      <c r="F57">
        <v>476</v>
      </c>
      <c r="G57" t="s">
        <v>356</v>
      </c>
      <c r="H57">
        <v>64</v>
      </c>
      <c r="I57">
        <v>1</v>
      </c>
      <c r="J57">
        <v>1</v>
      </c>
      <c r="K57" t="s">
        <v>251</v>
      </c>
      <c r="L57">
        <v>2024</v>
      </c>
      <c r="M57">
        <v>0</v>
      </c>
      <c r="N57">
        <v>0</v>
      </c>
      <c r="O57" t="s">
        <v>110</v>
      </c>
      <c r="P57">
        <v>1</v>
      </c>
      <c r="Q57" t="s">
        <v>168</v>
      </c>
      <c r="R57" t="s">
        <v>168</v>
      </c>
      <c r="S57" t="s">
        <v>168</v>
      </c>
      <c r="T57" t="s">
        <v>168</v>
      </c>
      <c r="U57" t="s">
        <v>169</v>
      </c>
      <c r="V57" t="s">
        <v>169</v>
      </c>
      <c r="W57" t="s">
        <v>169</v>
      </c>
      <c r="X57" s="5">
        <v>45056</v>
      </c>
      <c r="Y57" s="5">
        <v>45116</v>
      </c>
      <c r="Z57" s="5">
        <v>45217</v>
      </c>
      <c r="AA57" s="5">
        <v>45500</v>
      </c>
      <c r="AB57" t="s">
        <v>171</v>
      </c>
      <c r="AC57" t="s">
        <v>172</v>
      </c>
      <c r="AD57" t="s">
        <v>173</v>
      </c>
      <c r="AE57" t="s">
        <v>169</v>
      </c>
    </row>
    <row r="58" spans="1:31" x14ac:dyDescent="0.25">
      <c r="A58">
        <v>640853828</v>
      </c>
      <c r="B58" t="s">
        <v>41</v>
      </c>
      <c r="C58" s="7" t="s">
        <v>431</v>
      </c>
      <c r="D58" s="7"/>
      <c r="E58" s="7">
        <v>56</v>
      </c>
      <c r="F58" s="7">
        <v>479</v>
      </c>
      <c r="G58" s="7" t="s">
        <v>355</v>
      </c>
      <c r="H58" s="7">
        <v>62</v>
      </c>
      <c r="I58" s="7">
        <v>24</v>
      </c>
      <c r="J58">
        <v>1</v>
      </c>
      <c r="K58" t="s">
        <v>111</v>
      </c>
      <c r="L58">
        <v>2024</v>
      </c>
      <c r="M58">
        <v>0</v>
      </c>
      <c r="N58">
        <v>0</v>
      </c>
      <c r="O58" t="s">
        <v>111</v>
      </c>
      <c r="P58">
        <v>1</v>
      </c>
      <c r="Q58" t="s">
        <v>168</v>
      </c>
      <c r="R58" t="s">
        <v>168</v>
      </c>
      <c r="S58" t="s">
        <v>168</v>
      </c>
      <c r="T58" t="s">
        <v>168</v>
      </c>
      <c r="U58" t="s">
        <v>169</v>
      </c>
      <c r="V58" t="s">
        <v>169</v>
      </c>
      <c r="W58" t="s">
        <v>169</v>
      </c>
      <c r="X58" s="5">
        <v>45107</v>
      </c>
      <c r="Y58" s="5">
        <v>45316</v>
      </c>
      <c r="Z58" s="5">
        <v>45641</v>
      </c>
      <c r="AA58" s="5">
        <v>45672</v>
      </c>
      <c r="AB58" t="s">
        <v>171</v>
      </c>
      <c r="AC58" t="s">
        <v>172</v>
      </c>
      <c r="AD58" t="s">
        <v>178</v>
      </c>
      <c r="AE58" t="s">
        <v>169</v>
      </c>
    </row>
    <row r="59" spans="1:31" x14ac:dyDescent="0.25">
      <c r="A59">
        <v>640852811</v>
      </c>
      <c r="B59" t="s">
        <v>31</v>
      </c>
      <c r="C59" s="7" t="s">
        <v>419</v>
      </c>
      <c r="D59" s="7"/>
      <c r="E59" s="7">
        <v>58</v>
      </c>
      <c r="F59" s="7">
        <v>493</v>
      </c>
      <c r="G59" s="7" t="s">
        <v>357</v>
      </c>
      <c r="H59" s="7">
        <v>64</v>
      </c>
      <c r="I59" s="7">
        <v>33</v>
      </c>
      <c r="J59">
        <v>1</v>
      </c>
      <c r="K59" t="s">
        <v>252</v>
      </c>
      <c r="L59">
        <v>2024</v>
      </c>
      <c r="M59">
        <v>0</v>
      </c>
      <c r="N59">
        <v>0</v>
      </c>
      <c r="O59" t="s">
        <v>113</v>
      </c>
      <c r="P59">
        <v>1</v>
      </c>
      <c r="Q59" t="s">
        <v>168</v>
      </c>
      <c r="R59" t="s">
        <v>168</v>
      </c>
      <c r="S59" t="s">
        <v>168</v>
      </c>
      <c r="T59" t="s">
        <v>168</v>
      </c>
      <c r="U59" t="s">
        <v>169</v>
      </c>
      <c r="V59" t="s">
        <v>169</v>
      </c>
      <c r="W59" t="s">
        <v>169</v>
      </c>
      <c r="X59" s="5">
        <v>45122</v>
      </c>
      <c r="Y59" s="5">
        <v>45234</v>
      </c>
      <c r="Z59" s="5">
        <v>45412</v>
      </c>
      <c r="AA59" s="5">
        <v>45500</v>
      </c>
      <c r="AB59" t="s">
        <v>171</v>
      </c>
      <c r="AC59" t="s">
        <v>172</v>
      </c>
      <c r="AD59" t="s">
        <v>173</v>
      </c>
      <c r="AE59" t="s">
        <v>169</v>
      </c>
    </row>
    <row r="60" spans="1:31" x14ac:dyDescent="0.25">
      <c r="A60">
        <v>640852812</v>
      </c>
      <c r="B60" t="s">
        <v>40</v>
      </c>
      <c r="C60" s="7" t="s">
        <v>419</v>
      </c>
      <c r="D60" s="7"/>
      <c r="E60" s="7">
        <v>59</v>
      </c>
      <c r="F60" s="7">
        <v>515</v>
      </c>
      <c r="G60" s="7" t="s">
        <v>361</v>
      </c>
      <c r="H60" s="7">
        <v>65</v>
      </c>
      <c r="I60" s="7">
        <v>33</v>
      </c>
      <c r="J60">
        <v>1</v>
      </c>
      <c r="K60" t="s">
        <v>288</v>
      </c>
      <c r="L60">
        <v>2024</v>
      </c>
      <c r="M60">
        <v>0</v>
      </c>
      <c r="N60">
        <v>0</v>
      </c>
      <c r="O60" t="s">
        <v>114</v>
      </c>
      <c r="P60">
        <v>1</v>
      </c>
      <c r="Q60" t="s">
        <v>168</v>
      </c>
      <c r="R60" t="s">
        <v>168</v>
      </c>
      <c r="S60" t="s">
        <v>168</v>
      </c>
      <c r="T60" t="s">
        <v>168</v>
      </c>
      <c r="U60" t="s">
        <v>169</v>
      </c>
      <c r="V60" t="s">
        <v>169</v>
      </c>
      <c r="W60" t="s">
        <v>169</v>
      </c>
      <c r="X60" s="5">
        <v>45048</v>
      </c>
      <c r="Y60" s="5">
        <v>45239</v>
      </c>
      <c r="Z60" s="5">
        <v>45402</v>
      </c>
      <c r="AA60" s="5">
        <v>45407</v>
      </c>
      <c r="AB60" t="s">
        <v>171</v>
      </c>
      <c r="AC60" t="s">
        <v>172</v>
      </c>
      <c r="AD60" t="s">
        <v>173</v>
      </c>
      <c r="AE60" t="s">
        <v>169</v>
      </c>
    </row>
    <row r="61" spans="1:31" x14ac:dyDescent="0.25">
      <c r="A61">
        <v>640853837</v>
      </c>
      <c r="B61" t="s">
        <v>30</v>
      </c>
      <c r="C61" s="7" t="s">
        <v>425</v>
      </c>
      <c r="D61" s="7"/>
      <c r="E61" s="7">
        <v>60</v>
      </c>
      <c r="F61" s="7">
        <v>527</v>
      </c>
      <c r="G61" s="7" t="s">
        <v>355</v>
      </c>
      <c r="H61" s="7">
        <v>137</v>
      </c>
      <c r="I61" s="7">
        <v>32</v>
      </c>
      <c r="J61">
        <v>1</v>
      </c>
      <c r="K61" t="s">
        <v>289</v>
      </c>
      <c r="L61">
        <v>2024</v>
      </c>
      <c r="M61">
        <v>0</v>
      </c>
      <c r="N61">
        <v>0</v>
      </c>
      <c r="O61" t="s">
        <v>115</v>
      </c>
      <c r="P61">
        <v>1</v>
      </c>
      <c r="Q61" t="s">
        <v>168</v>
      </c>
      <c r="R61" t="s">
        <v>168</v>
      </c>
      <c r="S61" t="s">
        <v>168</v>
      </c>
      <c r="T61" t="s">
        <v>168</v>
      </c>
      <c r="U61" t="s">
        <v>169</v>
      </c>
      <c r="V61" t="s">
        <v>169</v>
      </c>
      <c r="W61" t="s">
        <v>169</v>
      </c>
      <c r="X61" s="5">
        <v>45204</v>
      </c>
      <c r="Y61" s="5">
        <v>45442</v>
      </c>
      <c r="Z61" s="5">
        <v>45647</v>
      </c>
      <c r="AA61" s="5">
        <v>45677</v>
      </c>
      <c r="AB61" t="s">
        <v>170</v>
      </c>
      <c r="AC61" t="s">
        <v>172</v>
      </c>
      <c r="AD61" t="s">
        <v>175</v>
      </c>
      <c r="AE61" t="s">
        <v>169</v>
      </c>
    </row>
    <row r="62" spans="1:31" x14ac:dyDescent="0.25">
      <c r="A62">
        <v>640853838</v>
      </c>
      <c r="B62" t="s">
        <v>30</v>
      </c>
      <c r="C62" s="7" t="s">
        <v>425</v>
      </c>
      <c r="D62" s="7"/>
      <c r="E62" s="7">
        <v>61</v>
      </c>
      <c r="F62" s="7">
        <v>528</v>
      </c>
      <c r="G62" s="7" t="s">
        <v>355</v>
      </c>
      <c r="H62" s="7">
        <v>135</v>
      </c>
      <c r="I62" s="7">
        <v>32</v>
      </c>
      <c r="J62">
        <v>1</v>
      </c>
      <c r="K62" t="s">
        <v>290</v>
      </c>
      <c r="L62">
        <v>2024</v>
      </c>
      <c r="M62">
        <v>0</v>
      </c>
      <c r="N62">
        <v>0</v>
      </c>
      <c r="O62" t="s">
        <v>116</v>
      </c>
      <c r="P62">
        <v>1</v>
      </c>
      <c r="Q62" t="s">
        <v>168</v>
      </c>
      <c r="R62" t="s">
        <v>168</v>
      </c>
      <c r="S62" t="s">
        <v>168</v>
      </c>
      <c r="T62" t="s">
        <v>168</v>
      </c>
      <c r="U62" t="s">
        <v>169</v>
      </c>
      <c r="V62" t="s">
        <v>169</v>
      </c>
      <c r="W62" t="s">
        <v>169</v>
      </c>
      <c r="X62" s="5">
        <v>45204</v>
      </c>
      <c r="Y62" s="5">
        <v>45443</v>
      </c>
      <c r="Z62" s="5">
        <v>45647</v>
      </c>
      <c r="AA62" s="5">
        <v>45677</v>
      </c>
      <c r="AB62" t="s">
        <v>170</v>
      </c>
      <c r="AC62" t="s">
        <v>172</v>
      </c>
      <c r="AD62" t="s">
        <v>175</v>
      </c>
      <c r="AE62" t="s">
        <v>169</v>
      </c>
    </row>
    <row r="63" spans="1:31" x14ac:dyDescent="0.25">
      <c r="A63">
        <v>640853838</v>
      </c>
      <c r="B63" t="s">
        <v>30</v>
      </c>
      <c r="C63" s="7" t="s">
        <v>425</v>
      </c>
      <c r="D63" s="7"/>
      <c r="E63" s="7">
        <v>62</v>
      </c>
      <c r="F63" s="7">
        <v>529</v>
      </c>
      <c r="G63" s="7" t="s">
        <v>355</v>
      </c>
      <c r="H63" s="7">
        <v>135</v>
      </c>
      <c r="I63" s="7">
        <v>32</v>
      </c>
      <c r="J63">
        <v>1</v>
      </c>
      <c r="K63" t="s">
        <v>291</v>
      </c>
      <c r="L63">
        <v>2024</v>
      </c>
      <c r="M63">
        <v>0</v>
      </c>
      <c r="N63">
        <v>0</v>
      </c>
      <c r="O63" t="s">
        <v>117</v>
      </c>
      <c r="P63">
        <v>1</v>
      </c>
      <c r="Q63" t="s">
        <v>168</v>
      </c>
      <c r="R63" t="s">
        <v>168</v>
      </c>
      <c r="S63" t="s">
        <v>168</v>
      </c>
      <c r="T63" t="s">
        <v>168</v>
      </c>
      <c r="U63" t="s">
        <v>169</v>
      </c>
      <c r="V63" t="s">
        <v>169</v>
      </c>
      <c r="W63" t="s">
        <v>169</v>
      </c>
      <c r="X63" s="5">
        <v>45204</v>
      </c>
      <c r="Y63" s="5">
        <v>45443</v>
      </c>
      <c r="Z63" s="5">
        <v>45647</v>
      </c>
      <c r="AA63" s="5">
        <v>45677</v>
      </c>
      <c r="AB63" t="s">
        <v>170</v>
      </c>
      <c r="AC63" t="s">
        <v>172</v>
      </c>
      <c r="AD63" t="s">
        <v>175</v>
      </c>
      <c r="AE63" t="s">
        <v>169</v>
      </c>
    </row>
    <row r="64" spans="1:31" x14ac:dyDescent="0.25">
      <c r="A64">
        <v>640853840</v>
      </c>
      <c r="B64" t="s">
        <v>30</v>
      </c>
      <c r="C64" s="7" t="s">
        <v>425</v>
      </c>
      <c r="D64" s="7"/>
      <c r="E64" s="7">
        <v>63</v>
      </c>
      <c r="F64" s="7">
        <v>530</v>
      </c>
      <c r="G64" s="7" t="s">
        <v>355</v>
      </c>
      <c r="H64" s="7">
        <v>136</v>
      </c>
      <c r="I64" s="7">
        <v>32</v>
      </c>
      <c r="J64">
        <v>1</v>
      </c>
      <c r="K64" t="s">
        <v>118</v>
      </c>
      <c r="L64">
        <v>2024</v>
      </c>
      <c r="M64">
        <v>0</v>
      </c>
      <c r="N64">
        <v>0</v>
      </c>
      <c r="O64" t="s">
        <v>118</v>
      </c>
      <c r="P64">
        <v>1</v>
      </c>
      <c r="Q64" t="s">
        <v>168</v>
      </c>
      <c r="R64" t="s">
        <v>168</v>
      </c>
      <c r="S64" t="s">
        <v>168</v>
      </c>
      <c r="T64" t="s">
        <v>168</v>
      </c>
      <c r="U64" t="s">
        <v>169</v>
      </c>
      <c r="V64" t="s">
        <v>169</v>
      </c>
      <c r="W64" t="s">
        <v>169</v>
      </c>
      <c r="X64" s="5">
        <v>45204</v>
      </c>
      <c r="Y64" s="5">
        <v>45443</v>
      </c>
      <c r="Z64" s="5">
        <v>45647</v>
      </c>
      <c r="AA64" s="5">
        <v>45677</v>
      </c>
      <c r="AB64" t="s">
        <v>170</v>
      </c>
      <c r="AC64" t="s">
        <v>172</v>
      </c>
      <c r="AD64" t="s">
        <v>175</v>
      </c>
      <c r="AE64" t="s">
        <v>169</v>
      </c>
    </row>
    <row r="65" spans="1:31" x14ac:dyDescent="0.25">
      <c r="A65">
        <v>640853841</v>
      </c>
      <c r="B65" t="s">
        <v>43</v>
      </c>
      <c r="C65" s="7" t="s">
        <v>427</v>
      </c>
      <c r="D65" s="7"/>
      <c r="E65" s="7">
        <v>64</v>
      </c>
      <c r="F65" s="7">
        <v>536</v>
      </c>
      <c r="G65" s="7" t="s">
        <v>355</v>
      </c>
      <c r="H65" s="7">
        <v>102</v>
      </c>
      <c r="I65" s="7">
        <v>21</v>
      </c>
      <c r="J65">
        <v>1</v>
      </c>
      <c r="K65" t="s">
        <v>292</v>
      </c>
      <c r="L65">
        <v>2024</v>
      </c>
      <c r="M65">
        <v>0</v>
      </c>
      <c r="N65">
        <v>0</v>
      </c>
      <c r="O65" t="s">
        <v>119</v>
      </c>
      <c r="P65">
        <v>1</v>
      </c>
      <c r="Q65" t="s">
        <v>168</v>
      </c>
      <c r="R65" t="s">
        <v>168</v>
      </c>
      <c r="S65" t="s">
        <v>168</v>
      </c>
      <c r="T65" t="s">
        <v>168</v>
      </c>
      <c r="U65" t="s">
        <v>169</v>
      </c>
      <c r="V65" t="s">
        <v>169</v>
      </c>
      <c r="W65" t="s">
        <v>169</v>
      </c>
      <c r="X65" s="5">
        <v>45241</v>
      </c>
      <c r="Y65" s="5">
        <v>45344</v>
      </c>
      <c r="Z65" s="5">
        <v>45457</v>
      </c>
      <c r="AA65" s="5">
        <v>45596</v>
      </c>
      <c r="AB65" t="s">
        <v>170</v>
      </c>
      <c r="AC65" t="s">
        <v>172</v>
      </c>
      <c r="AD65" t="s">
        <v>174</v>
      </c>
      <c r="AE65" t="s">
        <v>169</v>
      </c>
    </row>
    <row r="66" spans="1:31" x14ac:dyDescent="0.25">
      <c r="A66">
        <v>640853841</v>
      </c>
      <c r="B66" t="s">
        <v>43</v>
      </c>
      <c r="C66" t="s">
        <v>442</v>
      </c>
      <c r="E66">
        <v>65</v>
      </c>
      <c r="F66">
        <v>537</v>
      </c>
      <c r="G66" t="s">
        <v>355</v>
      </c>
      <c r="H66">
        <v>102</v>
      </c>
      <c r="I66">
        <v>6</v>
      </c>
      <c r="J66">
        <v>1</v>
      </c>
      <c r="K66" t="s">
        <v>293</v>
      </c>
      <c r="L66">
        <v>2024</v>
      </c>
      <c r="M66">
        <v>0</v>
      </c>
      <c r="N66">
        <v>0</v>
      </c>
      <c r="O66" t="s">
        <v>120</v>
      </c>
      <c r="P66">
        <v>1</v>
      </c>
      <c r="Q66" t="s">
        <v>168</v>
      </c>
      <c r="R66" t="s">
        <v>168</v>
      </c>
      <c r="S66" t="s">
        <v>168</v>
      </c>
      <c r="T66" t="s">
        <v>168</v>
      </c>
      <c r="U66" t="s">
        <v>169</v>
      </c>
      <c r="V66" t="s">
        <v>169</v>
      </c>
      <c r="W66" t="s">
        <v>169</v>
      </c>
      <c r="X66" s="5">
        <v>45241</v>
      </c>
      <c r="Y66" s="5">
        <v>45387</v>
      </c>
      <c r="Z66" s="5">
        <v>45494</v>
      </c>
      <c r="AA66" s="5">
        <v>45613</v>
      </c>
      <c r="AB66" t="s">
        <v>170</v>
      </c>
      <c r="AC66" t="s">
        <v>172</v>
      </c>
      <c r="AD66" t="s">
        <v>174</v>
      </c>
      <c r="AE66" t="s">
        <v>169</v>
      </c>
    </row>
    <row r="67" spans="1:31" x14ac:dyDescent="0.25">
      <c r="A67">
        <v>640853841</v>
      </c>
      <c r="B67" t="s">
        <v>43</v>
      </c>
      <c r="C67" s="7" t="s">
        <v>428</v>
      </c>
      <c r="D67" s="7"/>
      <c r="E67" s="7">
        <v>66</v>
      </c>
      <c r="F67" s="7">
        <v>538</v>
      </c>
      <c r="G67" s="7" t="s">
        <v>355</v>
      </c>
      <c r="H67" s="7">
        <v>102</v>
      </c>
      <c r="I67" s="7">
        <v>22</v>
      </c>
      <c r="J67">
        <v>1</v>
      </c>
      <c r="K67" t="s">
        <v>294</v>
      </c>
      <c r="L67">
        <v>2024</v>
      </c>
      <c r="M67">
        <v>0</v>
      </c>
      <c r="N67">
        <v>0</v>
      </c>
      <c r="O67" t="s">
        <v>121</v>
      </c>
      <c r="P67">
        <v>1</v>
      </c>
      <c r="Q67" t="s">
        <v>168</v>
      </c>
      <c r="R67" t="s">
        <v>168</v>
      </c>
      <c r="S67" t="s">
        <v>168</v>
      </c>
      <c r="T67" t="s">
        <v>168</v>
      </c>
      <c r="U67" t="s">
        <v>169</v>
      </c>
      <c r="V67" t="s">
        <v>169</v>
      </c>
      <c r="W67" t="s">
        <v>169</v>
      </c>
      <c r="X67" s="5">
        <v>45241</v>
      </c>
      <c r="Y67" s="5">
        <v>45433</v>
      </c>
      <c r="Z67" s="5">
        <v>45513</v>
      </c>
      <c r="AA67" s="5">
        <v>45618</v>
      </c>
      <c r="AB67" t="s">
        <v>170</v>
      </c>
      <c r="AC67" t="s">
        <v>172</v>
      </c>
      <c r="AD67" t="s">
        <v>174</v>
      </c>
      <c r="AE67" t="s">
        <v>169</v>
      </c>
    </row>
    <row r="68" spans="1:31" x14ac:dyDescent="0.25">
      <c r="A68">
        <v>640853841</v>
      </c>
      <c r="B68" t="s">
        <v>43</v>
      </c>
      <c r="C68" s="7" t="s">
        <v>425</v>
      </c>
      <c r="D68" s="7"/>
      <c r="E68" s="7">
        <v>67</v>
      </c>
      <c r="F68" s="7">
        <v>539</v>
      </c>
      <c r="G68" s="7" t="s">
        <v>355</v>
      </c>
      <c r="H68" s="7">
        <v>102</v>
      </c>
      <c r="I68" s="7">
        <v>32</v>
      </c>
      <c r="J68">
        <v>1</v>
      </c>
      <c r="K68" t="s">
        <v>295</v>
      </c>
      <c r="L68">
        <v>2024</v>
      </c>
      <c r="M68">
        <v>0</v>
      </c>
      <c r="N68">
        <v>0</v>
      </c>
      <c r="O68" t="s">
        <v>122</v>
      </c>
      <c r="P68">
        <v>1</v>
      </c>
      <c r="Q68" t="s">
        <v>168</v>
      </c>
      <c r="R68" t="s">
        <v>168</v>
      </c>
      <c r="S68" t="s">
        <v>168</v>
      </c>
      <c r="T68" t="s">
        <v>168</v>
      </c>
      <c r="U68" t="s">
        <v>169</v>
      </c>
      <c r="V68" t="s">
        <v>169</v>
      </c>
      <c r="W68" t="s">
        <v>169</v>
      </c>
      <c r="X68" s="5">
        <v>45241</v>
      </c>
      <c r="Y68" s="5">
        <v>45525</v>
      </c>
      <c r="Z68" s="5">
        <v>45715</v>
      </c>
      <c r="AA68" s="5">
        <v>45743</v>
      </c>
      <c r="AB68" t="s">
        <v>170</v>
      </c>
      <c r="AC68" t="s">
        <v>172</v>
      </c>
      <c r="AD68" t="s">
        <v>174</v>
      </c>
      <c r="AE68" t="s">
        <v>169</v>
      </c>
    </row>
    <row r="69" spans="1:31" x14ac:dyDescent="0.25">
      <c r="A69">
        <v>640852802</v>
      </c>
      <c r="B69" t="s">
        <v>44</v>
      </c>
      <c r="C69" s="7" t="s">
        <v>444</v>
      </c>
      <c r="D69" s="7"/>
      <c r="E69" s="7">
        <v>68</v>
      </c>
      <c r="F69" s="7">
        <v>562</v>
      </c>
      <c r="G69" s="7" t="s">
        <v>367</v>
      </c>
      <c r="H69" s="7">
        <v>63</v>
      </c>
      <c r="I69" s="7">
        <v>34</v>
      </c>
      <c r="J69">
        <v>1</v>
      </c>
      <c r="K69" t="s">
        <v>297</v>
      </c>
      <c r="L69">
        <v>2024</v>
      </c>
      <c r="M69">
        <v>0</v>
      </c>
      <c r="N69">
        <v>0</v>
      </c>
      <c r="O69" t="s">
        <v>124</v>
      </c>
      <c r="P69">
        <v>1</v>
      </c>
      <c r="Q69" t="s">
        <v>168</v>
      </c>
      <c r="R69" t="s">
        <v>168</v>
      </c>
      <c r="S69" t="s">
        <v>168</v>
      </c>
      <c r="T69" t="s">
        <v>168</v>
      </c>
      <c r="U69" t="s">
        <v>169</v>
      </c>
      <c r="V69" t="s">
        <v>169</v>
      </c>
      <c r="W69" t="s">
        <v>169</v>
      </c>
      <c r="X69" s="5">
        <v>45428</v>
      </c>
      <c r="Y69" s="5">
        <v>45565</v>
      </c>
      <c r="Z69" s="5">
        <v>45565</v>
      </c>
      <c r="AA69" s="5">
        <v>45565</v>
      </c>
      <c r="AB69" t="s">
        <v>171</v>
      </c>
      <c r="AC69" t="s">
        <v>172</v>
      </c>
      <c r="AD69" t="s">
        <v>177</v>
      </c>
      <c r="AE69" t="s">
        <v>169</v>
      </c>
    </row>
    <row r="70" spans="1:31" x14ac:dyDescent="0.25">
      <c r="A70">
        <v>640852811</v>
      </c>
      <c r="B70" t="s">
        <v>31</v>
      </c>
      <c r="C70" t="s">
        <v>416</v>
      </c>
      <c r="E70">
        <v>69</v>
      </c>
      <c r="F70">
        <v>572</v>
      </c>
      <c r="G70" t="s">
        <v>358</v>
      </c>
      <c r="H70">
        <v>64</v>
      </c>
      <c r="I70">
        <v>1</v>
      </c>
      <c r="J70">
        <v>1</v>
      </c>
      <c r="K70" t="s">
        <v>253</v>
      </c>
      <c r="L70">
        <v>2024</v>
      </c>
      <c r="M70">
        <v>0</v>
      </c>
      <c r="N70">
        <v>0</v>
      </c>
      <c r="O70" t="s">
        <v>125</v>
      </c>
      <c r="P70">
        <v>1</v>
      </c>
      <c r="Q70" t="s">
        <v>168</v>
      </c>
      <c r="R70" t="s">
        <v>168</v>
      </c>
      <c r="S70" t="s">
        <v>168</v>
      </c>
      <c r="T70" t="s">
        <v>168</v>
      </c>
      <c r="U70" t="s">
        <v>169</v>
      </c>
      <c r="V70" t="s">
        <v>169</v>
      </c>
      <c r="W70" t="s">
        <v>169</v>
      </c>
      <c r="X70" s="5">
        <v>44958</v>
      </c>
      <c r="Y70" s="5">
        <v>45350</v>
      </c>
      <c r="Z70" s="5">
        <v>45348</v>
      </c>
      <c r="AA70" s="5">
        <v>45500</v>
      </c>
      <c r="AB70" t="s">
        <v>171</v>
      </c>
      <c r="AC70" t="s">
        <v>172</v>
      </c>
      <c r="AD70" t="s">
        <v>179</v>
      </c>
      <c r="AE70" t="s">
        <v>169</v>
      </c>
    </row>
    <row r="71" spans="1:31" x14ac:dyDescent="0.25">
      <c r="A71">
        <v>640852811</v>
      </c>
      <c r="B71" t="s">
        <v>31</v>
      </c>
      <c r="C71" t="s">
        <v>416</v>
      </c>
      <c r="E71">
        <v>70</v>
      </c>
      <c r="F71">
        <v>573</v>
      </c>
      <c r="G71" t="s">
        <v>359</v>
      </c>
      <c r="H71">
        <v>64</v>
      </c>
      <c r="I71">
        <v>1</v>
      </c>
      <c r="J71">
        <v>1</v>
      </c>
      <c r="K71" t="s">
        <v>254</v>
      </c>
      <c r="L71">
        <v>2024</v>
      </c>
      <c r="M71">
        <v>0</v>
      </c>
      <c r="N71">
        <v>0</v>
      </c>
      <c r="O71" t="s">
        <v>126</v>
      </c>
      <c r="P71">
        <v>1</v>
      </c>
      <c r="Q71" t="s">
        <v>168</v>
      </c>
      <c r="R71" t="s">
        <v>168</v>
      </c>
      <c r="S71" t="s">
        <v>168</v>
      </c>
      <c r="T71" t="s">
        <v>168</v>
      </c>
      <c r="U71" t="s">
        <v>169</v>
      </c>
      <c r="V71" t="s">
        <v>169</v>
      </c>
      <c r="W71" t="s">
        <v>169</v>
      </c>
      <c r="X71" s="5">
        <v>45251</v>
      </c>
      <c r="Y71" s="5">
        <v>45397</v>
      </c>
      <c r="Z71" s="5">
        <v>45498</v>
      </c>
      <c r="AA71" s="5">
        <v>45500</v>
      </c>
      <c r="AB71" t="s">
        <v>171</v>
      </c>
      <c r="AC71" t="s">
        <v>172</v>
      </c>
      <c r="AD71" t="s">
        <v>173</v>
      </c>
      <c r="AE71" t="s">
        <v>169</v>
      </c>
    </row>
    <row r="72" spans="1:31" x14ac:dyDescent="0.25">
      <c r="A72">
        <v>640854808</v>
      </c>
      <c r="B72" t="s">
        <v>45</v>
      </c>
      <c r="C72" t="s">
        <v>418</v>
      </c>
      <c r="E72">
        <v>71</v>
      </c>
      <c r="F72">
        <v>593</v>
      </c>
      <c r="G72" t="s">
        <v>355</v>
      </c>
      <c r="H72">
        <v>139</v>
      </c>
      <c r="I72">
        <v>11</v>
      </c>
      <c r="J72">
        <v>1</v>
      </c>
      <c r="K72" t="s">
        <v>300</v>
      </c>
      <c r="L72">
        <v>2024</v>
      </c>
      <c r="M72">
        <v>0</v>
      </c>
      <c r="N72">
        <v>0</v>
      </c>
      <c r="O72" t="s">
        <v>127</v>
      </c>
      <c r="P72">
        <v>1</v>
      </c>
      <c r="Q72" t="s">
        <v>168</v>
      </c>
      <c r="R72" t="s">
        <v>168</v>
      </c>
      <c r="S72" t="s">
        <v>168</v>
      </c>
      <c r="T72" t="s">
        <v>168</v>
      </c>
      <c r="U72" t="s">
        <v>169</v>
      </c>
      <c r="V72" t="s">
        <v>169</v>
      </c>
      <c r="W72" t="s">
        <v>169</v>
      </c>
      <c r="X72" s="5">
        <v>45358</v>
      </c>
      <c r="Y72" s="6">
        <v>45478</v>
      </c>
      <c r="Z72" s="5">
        <v>45513</v>
      </c>
      <c r="AA72" s="5">
        <v>46287</v>
      </c>
      <c r="AB72" t="s">
        <v>171</v>
      </c>
      <c r="AC72" t="s">
        <v>172</v>
      </c>
      <c r="AD72" t="s">
        <v>178</v>
      </c>
      <c r="AE72" t="s">
        <v>169</v>
      </c>
    </row>
    <row r="73" spans="1:31" x14ac:dyDescent="0.25">
      <c r="A73">
        <v>640854809</v>
      </c>
      <c r="B73" t="s">
        <v>46</v>
      </c>
      <c r="C73" t="s">
        <v>418</v>
      </c>
      <c r="E73">
        <v>72</v>
      </c>
      <c r="F73">
        <v>595</v>
      </c>
      <c r="G73" t="s">
        <v>355</v>
      </c>
      <c r="H73">
        <v>140</v>
      </c>
      <c r="I73">
        <v>11</v>
      </c>
      <c r="J73">
        <v>1</v>
      </c>
      <c r="K73" t="s">
        <v>302</v>
      </c>
      <c r="L73">
        <v>2024</v>
      </c>
      <c r="M73">
        <v>0</v>
      </c>
      <c r="N73">
        <v>0</v>
      </c>
      <c r="O73" t="s">
        <v>128</v>
      </c>
      <c r="P73">
        <v>1</v>
      </c>
      <c r="Q73" t="s">
        <v>168</v>
      </c>
      <c r="R73" t="s">
        <v>168</v>
      </c>
      <c r="S73" t="s">
        <v>168</v>
      </c>
      <c r="T73" t="s">
        <v>168</v>
      </c>
      <c r="U73" t="s">
        <v>169</v>
      </c>
      <c r="V73" t="s">
        <v>169</v>
      </c>
      <c r="W73" t="s">
        <v>169</v>
      </c>
      <c r="X73" s="5">
        <v>45372</v>
      </c>
      <c r="Y73" s="5">
        <v>45551</v>
      </c>
      <c r="Z73" s="5">
        <v>45572</v>
      </c>
      <c r="AA73" s="5">
        <v>46331</v>
      </c>
      <c r="AB73" t="s">
        <v>171</v>
      </c>
      <c r="AC73" t="s">
        <v>172</v>
      </c>
      <c r="AD73" t="s">
        <v>178</v>
      </c>
      <c r="AE73" t="s">
        <v>169</v>
      </c>
    </row>
    <row r="74" spans="1:31" x14ac:dyDescent="0.25">
      <c r="A74">
        <v>640853819</v>
      </c>
      <c r="B74" t="s">
        <v>44</v>
      </c>
      <c r="C74" t="s">
        <v>417</v>
      </c>
      <c r="E74">
        <v>73</v>
      </c>
      <c r="F74">
        <v>596</v>
      </c>
      <c r="G74" t="s">
        <v>354</v>
      </c>
      <c r="H74">
        <v>71</v>
      </c>
      <c r="I74">
        <v>15</v>
      </c>
      <c r="J74">
        <v>1</v>
      </c>
      <c r="K74" t="s">
        <v>303</v>
      </c>
      <c r="L74">
        <v>2024</v>
      </c>
      <c r="M74">
        <v>0</v>
      </c>
      <c r="N74">
        <v>0</v>
      </c>
      <c r="O74" t="s">
        <v>129</v>
      </c>
      <c r="P74">
        <v>1</v>
      </c>
      <c r="Q74" t="s">
        <v>168</v>
      </c>
      <c r="R74" t="s">
        <v>168</v>
      </c>
      <c r="S74" t="s">
        <v>168</v>
      </c>
      <c r="T74" t="s">
        <v>168</v>
      </c>
      <c r="U74" t="s">
        <v>169</v>
      </c>
      <c r="V74" t="s">
        <v>169</v>
      </c>
      <c r="W74" t="s">
        <v>169</v>
      </c>
      <c r="X74" s="5">
        <v>45306</v>
      </c>
      <c r="Y74" s="5">
        <v>45443</v>
      </c>
      <c r="Z74" s="5">
        <v>45519</v>
      </c>
      <c r="AA74" s="5">
        <v>45519</v>
      </c>
      <c r="AB74" t="s">
        <v>171</v>
      </c>
      <c r="AC74" t="s">
        <v>172</v>
      </c>
      <c r="AD74" t="s">
        <v>176</v>
      </c>
      <c r="AE74" t="s">
        <v>169</v>
      </c>
    </row>
    <row r="75" spans="1:31" x14ac:dyDescent="0.25">
      <c r="A75">
        <v>640852811</v>
      </c>
      <c r="B75" t="s">
        <v>31</v>
      </c>
      <c r="C75" t="s">
        <v>416</v>
      </c>
      <c r="E75">
        <v>74</v>
      </c>
      <c r="F75">
        <v>597</v>
      </c>
      <c r="G75" t="s">
        <v>360</v>
      </c>
      <c r="H75">
        <v>64</v>
      </c>
      <c r="I75">
        <v>1</v>
      </c>
      <c r="J75">
        <v>1</v>
      </c>
      <c r="K75" t="s">
        <v>255</v>
      </c>
      <c r="L75">
        <v>2024</v>
      </c>
      <c r="M75">
        <v>0</v>
      </c>
      <c r="N75">
        <v>0</v>
      </c>
      <c r="O75" t="s">
        <v>130</v>
      </c>
      <c r="P75">
        <v>1</v>
      </c>
      <c r="Q75" t="s">
        <v>168</v>
      </c>
      <c r="R75" t="s">
        <v>168</v>
      </c>
      <c r="S75" t="s">
        <v>168</v>
      </c>
      <c r="T75" t="s">
        <v>168</v>
      </c>
      <c r="U75" t="s">
        <v>169</v>
      </c>
      <c r="V75" t="s">
        <v>169</v>
      </c>
      <c r="W75" t="s">
        <v>169</v>
      </c>
      <c r="X75" s="5">
        <v>45334</v>
      </c>
      <c r="Y75" s="5">
        <v>45432</v>
      </c>
      <c r="Z75" s="5">
        <v>45480</v>
      </c>
      <c r="AA75" s="5">
        <v>45503</v>
      </c>
      <c r="AB75" t="s">
        <v>171</v>
      </c>
      <c r="AC75" t="s">
        <v>172</v>
      </c>
      <c r="AD75" t="s">
        <v>173</v>
      </c>
      <c r="AE75" t="s">
        <v>169</v>
      </c>
    </row>
    <row r="76" spans="1:31" x14ac:dyDescent="0.25">
      <c r="A76">
        <v>640854811</v>
      </c>
      <c r="B76" t="s">
        <v>47</v>
      </c>
      <c r="C76" s="7" t="s">
        <v>431</v>
      </c>
      <c r="D76" s="7"/>
      <c r="E76" s="7">
        <v>75</v>
      </c>
      <c r="F76" s="7">
        <v>612</v>
      </c>
      <c r="G76" s="7" t="s">
        <v>355</v>
      </c>
      <c r="H76" s="7">
        <v>143</v>
      </c>
      <c r="I76" s="7">
        <v>24</v>
      </c>
      <c r="J76">
        <v>1</v>
      </c>
      <c r="K76" t="s">
        <v>305</v>
      </c>
      <c r="L76">
        <v>2024</v>
      </c>
      <c r="M76">
        <v>0</v>
      </c>
      <c r="N76">
        <v>0</v>
      </c>
      <c r="O76" t="s">
        <v>132</v>
      </c>
      <c r="P76">
        <v>1</v>
      </c>
      <c r="Q76" t="s">
        <v>168</v>
      </c>
      <c r="R76" t="s">
        <v>168</v>
      </c>
      <c r="S76" t="s">
        <v>168</v>
      </c>
      <c r="T76" t="s">
        <v>168</v>
      </c>
      <c r="U76" t="s">
        <v>169</v>
      </c>
      <c r="V76" t="s">
        <v>169</v>
      </c>
      <c r="W76" t="s">
        <v>169</v>
      </c>
      <c r="X76" s="5">
        <v>45394</v>
      </c>
      <c r="Y76" s="5">
        <v>46123</v>
      </c>
      <c r="Z76" s="5">
        <v>46123</v>
      </c>
      <c r="AA76" s="5">
        <v>46123</v>
      </c>
      <c r="AB76" t="s">
        <v>171</v>
      </c>
      <c r="AC76" t="s">
        <v>172</v>
      </c>
      <c r="AD76" t="s">
        <v>173</v>
      </c>
      <c r="AE76" t="s">
        <v>169</v>
      </c>
    </row>
    <row r="77" spans="1:31" x14ac:dyDescent="0.25">
      <c r="A77">
        <v>640854813</v>
      </c>
      <c r="B77" t="s">
        <v>30</v>
      </c>
      <c r="C77" t="s">
        <v>416</v>
      </c>
      <c r="E77">
        <v>76</v>
      </c>
      <c r="F77">
        <v>613</v>
      </c>
      <c r="G77" t="s">
        <v>355</v>
      </c>
      <c r="H77">
        <v>145</v>
      </c>
      <c r="I77">
        <v>1</v>
      </c>
      <c r="J77">
        <v>1</v>
      </c>
      <c r="K77" t="s">
        <v>306</v>
      </c>
      <c r="L77">
        <v>2024</v>
      </c>
      <c r="M77">
        <v>0</v>
      </c>
      <c r="N77">
        <v>0</v>
      </c>
      <c r="O77" t="s">
        <v>133</v>
      </c>
      <c r="P77">
        <v>1</v>
      </c>
      <c r="Q77" t="s">
        <v>168</v>
      </c>
      <c r="R77" t="s">
        <v>168</v>
      </c>
      <c r="S77" t="s">
        <v>168</v>
      </c>
      <c r="T77" t="s">
        <v>168</v>
      </c>
      <c r="U77" t="s">
        <v>169</v>
      </c>
      <c r="V77" t="s">
        <v>169</v>
      </c>
      <c r="W77" t="s">
        <v>169</v>
      </c>
      <c r="X77" s="5">
        <v>45443</v>
      </c>
      <c r="Y77" s="5">
        <v>45586</v>
      </c>
      <c r="Z77" s="5">
        <v>45586</v>
      </c>
      <c r="AA77" s="5">
        <v>45614</v>
      </c>
      <c r="AB77" t="s">
        <v>171</v>
      </c>
      <c r="AC77" t="s">
        <v>172</v>
      </c>
      <c r="AD77" t="s">
        <v>173</v>
      </c>
      <c r="AE77" t="s">
        <v>169</v>
      </c>
    </row>
    <row r="78" spans="1:31" x14ac:dyDescent="0.25">
      <c r="A78">
        <v>640852802</v>
      </c>
      <c r="B78" t="s">
        <v>44</v>
      </c>
      <c r="C78" s="7" t="s">
        <v>446</v>
      </c>
      <c r="D78" s="7"/>
      <c r="E78" s="7">
        <v>77</v>
      </c>
      <c r="F78" s="7">
        <v>617</v>
      </c>
      <c r="G78" s="7" t="s">
        <v>368</v>
      </c>
      <c r="H78" s="7">
        <v>63</v>
      </c>
      <c r="I78" s="7">
        <v>36</v>
      </c>
      <c r="J78">
        <v>1</v>
      </c>
      <c r="K78" t="s">
        <v>307</v>
      </c>
      <c r="L78">
        <v>2024</v>
      </c>
      <c r="M78">
        <v>0</v>
      </c>
      <c r="N78">
        <v>0</v>
      </c>
      <c r="O78" t="s">
        <v>134</v>
      </c>
      <c r="P78">
        <v>1</v>
      </c>
      <c r="Q78" t="s">
        <v>168</v>
      </c>
      <c r="R78" t="s">
        <v>168</v>
      </c>
      <c r="S78" t="s">
        <v>168</v>
      </c>
      <c r="T78" t="s">
        <v>168</v>
      </c>
      <c r="U78" t="s">
        <v>169</v>
      </c>
      <c r="V78" t="s">
        <v>169</v>
      </c>
      <c r="W78" t="s">
        <v>169</v>
      </c>
      <c r="X78" s="5">
        <v>45348</v>
      </c>
      <c r="Y78" s="5">
        <v>45536</v>
      </c>
      <c r="Z78" s="5">
        <v>45536</v>
      </c>
      <c r="AA78" s="5">
        <v>45536</v>
      </c>
      <c r="AB78" t="s">
        <v>171</v>
      </c>
      <c r="AC78" t="s">
        <v>172</v>
      </c>
      <c r="AD78" t="s">
        <v>177</v>
      </c>
      <c r="AE78" t="s">
        <v>169</v>
      </c>
    </row>
    <row r="79" spans="1:31" x14ac:dyDescent="0.25">
      <c r="A79">
        <v>640852802</v>
      </c>
      <c r="B79" t="s">
        <v>44</v>
      </c>
      <c r="C79" s="7" t="s">
        <v>448</v>
      </c>
      <c r="D79" s="7"/>
      <c r="E79" s="7">
        <v>78</v>
      </c>
      <c r="F79" s="7">
        <v>618</v>
      </c>
      <c r="G79" s="7" t="s">
        <v>369</v>
      </c>
      <c r="H79" s="7">
        <v>63</v>
      </c>
      <c r="I79" s="7">
        <v>35</v>
      </c>
      <c r="J79">
        <v>1</v>
      </c>
      <c r="K79" t="s">
        <v>308</v>
      </c>
      <c r="L79">
        <v>2024</v>
      </c>
      <c r="M79">
        <v>0</v>
      </c>
      <c r="N79">
        <v>0</v>
      </c>
      <c r="O79" t="s">
        <v>135</v>
      </c>
      <c r="P79">
        <v>1</v>
      </c>
      <c r="Q79" t="s">
        <v>168</v>
      </c>
      <c r="R79" t="s">
        <v>168</v>
      </c>
      <c r="S79" t="s">
        <v>168</v>
      </c>
      <c r="T79" t="s">
        <v>168</v>
      </c>
      <c r="U79" t="s">
        <v>169</v>
      </c>
      <c r="V79" t="s">
        <v>169</v>
      </c>
      <c r="W79" t="s">
        <v>169</v>
      </c>
      <c r="X79" s="5">
        <v>45348</v>
      </c>
      <c r="Y79" s="5">
        <v>45565</v>
      </c>
      <c r="Z79" s="5">
        <v>45565</v>
      </c>
      <c r="AA79" s="5">
        <v>45565</v>
      </c>
      <c r="AB79" t="s">
        <v>171</v>
      </c>
      <c r="AC79" t="s">
        <v>172</v>
      </c>
      <c r="AD79" t="s">
        <v>176</v>
      </c>
      <c r="AE79" t="s">
        <v>169</v>
      </c>
    </row>
    <row r="80" spans="1:31" x14ac:dyDescent="0.25">
      <c r="A80">
        <v>640852801</v>
      </c>
      <c r="B80" t="s">
        <v>48</v>
      </c>
      <c r="C80" t="s">
        <v>417</v>
      </c>
      <c r="E80">
        <v>79</v>
      </c>
      <c r="F80">
        <v>622</v>
      </c>
      <c r="G80" t="s">
        <v>370</v>
      </c>
      <c r="H80">
        <v>98</v>
      </c>
      <c r="I80">
        <v>15</v>
      </c>
      <c r="J80">
        <v>1</v>
      </c>
      <c r="K80" t="s">
        <v>309</v>
      </c>
      <c r="L80">
        <v>2024</v>
      </c>
      <c r="M80">
        <v>0</v>
      </c>
      <c r="N80">
        <v>0</v>
      </c>
      <c r="O80" t="s">
        <v>136</v>
      </c>
      <c r="P80">
        <v>1</v>
      </c>
      <c r="Q80" t="s">
        <v>168</v>
      </c>
      <c r="R80" t="s">
        <v>168</v>
      </c>
      <c r="S80" t="s">
        <v>168</v>
      </c>
      <c r="T80" t="s">
        <v>168</v>
      </c>
      <c r="U80" t="s">
        <v>169</v>
      </c>
      <c r="V80" t="s">
        <v>169</v>
      </c>
      <c r="W80" t="s">
        <v>169</v>
      </c>
      <c r="X80" s="5">
        <v>45399</v>
      </c>
      <c r="Y80" s="5">
        <v>45518</v>
      </c>
      <c r="Z80" s="5">
        <v>45518</v>
      </c>
      <c r="AA80" s="5">
        <v>45518</v>
      </c>
      <c r="AB80" t="s">
        <v>171</v>
      </c>
      <c r="AC80" t="s">
        <v>172</v>
      </c>
      <c r="AD80" t="s">
        <v>177</v>
      </c>
      <c r="AE80" t="s">
        <v>169</v>
      </c>
    </row>
    <row r="81" spans="1:31" x14ac:dyDescent="0.25">
      <c r="A81">
        <v>640854810</v>
      </c>
      <c r="B81" t="s">
        <v>49</v>
      </c>
      <c r="C81" t="s">
        <v>417</v>
      </c>
      <c r="E81">
        <v>80</v>
      </c>
      <c r="F81">
        <v>624</v>
      </c>
      <c r="G81" t="s">
        <v>331</v>
      </c>
      <c r="H81">
        <v>142</v>
      </c>
      <c r="I81">
        <v>15</v>
      </c>
      <c r="J81">
        <v>1</v>
      </c>
      <c r="K81" t="s">
        <v>310</v>
      </c>
      <c r="L81">
        <v>2024</v>
      </c>
      <c r="M81">
        <v>0</v>
      </c>
      <c r="N81">
        <v>0</v>
      </c>
      <c r="O81" t="s">
        <v>137</v>
      </c>
      <c r="P81">
        <v>1</v>
      </c>
      <c r="Q81" t="s">
        <v>168</v>
      </c>
      <c r="R81" t="s">
        <v>168</v>
      </c>
      <c r="S81" t="s">
        <v>168</v>
      </c>
      <c r="T81" t="s">
        <v>168</v>
      </c>
      <c r="U81" t="s">
        <v>169</v>
      </c>
      <c r="V81" t="s">
        <v>169</v>
      </c>
      <c r="W81" t="s">
        <v>169</v>
      </c>
      <c r="X81" s="5">
        <v>45413</v>
      </c>
      <c r="Y81" s="5">
        <v>45474</v>
      </c>
      <c r="Z81" s="5">
        <v>45474</v>
      </c>
      <c r="AA81" s="5">
        <v>45477</v>
      </c>
      <c r="AB81" t="s">
        <v>171</v>
      </c>
      <c r="AC81" t="s">
        <v>172</v>
      </c>
      <c r="AD81" t="s">
        <v>173</v>
      </c>
      <c r="AE81" t="s">
        <v>169</v>
      </c>
    </row>
    <row r="82" spans="1:31" x14ac:dyDescent="0.25">
      <c r="A82">
        <v>640854810</v>
      </c>
      <c r="B82" t="s">
        <v>49</v>
      </c>
      <c r="C82" t="s">
        <v>418</v>
      </c>
      <c r="E82">
        <v>81</v>
      </c>
      <c r="F82">
        <v>625</v>
      </c>
      <c r="G82" t="s">
        <v>328</v>
      </c>
      <c r="H82">
        <v>142</v>
      </c>
      <c r="I82">
        <v>11</v>
      </c>
      <c r="J82">
        <v>1</v>
      </c>
      <c r="K82" t="s">
        <v>227</v>
      </c>
      <c r="L82">
        <v>2024</v>
      </c>
      <c r="M82">
        <v>0</v>
      </c>
      <c r="N82">
        <v>0</v>
      </c>
      <c r="O82" t="s">
        <v>138</v>
      </c>
      <c r="P82">
        <v>1</v>
      </c>
      <c r="Q82" t="s">
        <v>168</v>
      </c>
      <c r="R82" t="s">
        <v>168</v>
      </c>
      <c r="S82" t="s">
        <v>168</v>
      </c>
      <c r="T82" t="s">
        <v>168</v>
      </c>
      <c r="U82" t="s">
        <v>169</v>
      </c>
      <c r="V82" t="s">
        <v>169</v>
      </c>
      <c r="W82" t="s">
        <v>169</v>
      </c>
      <c r="X82" s="5">
        <v>45412</v>
      </c>
      <c r="Y82" s="5">
        <v>45468</v>
      </c>
      <c r="Z82" s="5">
        <v>45468</v>
      </c>
      <c r="AA82" s="5">
        <v>45471</v>
      </c>
      <c r="AB82" t="s">
        <v>171</v>
      </c>
      <c r="AC82" t="s">
        <v>172</v>
      </c>
      <c r="AD82" t="s">
        <v>179</v>
      </c>
      <c r="AE82" t="s">
        <v>169</v>
      </c>
    </row>
    <row r="83" spans="1:31" x14ac:dyDescent="0.25">
      <c r="A83">
        <v>640854810</v>
      </c>
      <c r="B83" t="s">
        <v>49</v>
      </c>
      <c r="C83" s="7" t="s">
        <v>419</v>
      </c>
      <c r="D83" s="7"/>
      <c r="E83" s="7">
        <v>82</v>
      </c>
      <c r="F83" s="7">
        <v>626</v>
      </c>
      <c r="G83" s="7" t="s">
        <v>329</v>
      </c>
      <c r="H83" s="7">
        <v>142</v>
      </c>
      <c r="I83" s="7">
        <v>33</v>
      </c>
      <c r="J83">
        <v>1</v>
      </c>
      <c r="K83" t="s">
        <v>228</v>
      </c>
      <c r="L83">
        <v>2024</v>
      </c>
      <c r="M83">
        <v>0</v>
      </c>
      <c r="N83">
        <v>0</v>
      </c>
      <c r="O83" t="s">
        <v>139</v>
      </c>
      <c r="P83">
        <v>1</v>
      </c>
      <c r="Q83" t="s">
        <v>168</v>
      </c>
      <c r="R83" t="s">
        <v>168</v>
      </c>
      <c r="S83" t="s">
        <v>168</v>
      </c>
      <c r="T83" t="s">
        <v>168</v>
      </c>
      <c r="U83" t="s">
        <v>169</v>
      </c>
      <c r="V83" t="s">
        <v>169</v>
      </c>
      <c r="W83" t="s">
        <v>169</v>
      </c>
      <c r="X83" s="5">
        <v>45415</v>
      </c>
      <c r="Y83" s="5">
        <v>45468</v>
      </c>
      <c r="Z83" s="5">
        <v>45468</v>
      </c>
      <c r="AA83" s="5">
        <v>45474</v>
      </c>
      <c r="AB83" t="s">
        <v>171</v>
      </c>
      <c r="AC83" t="s">
        <v>172</v>
      </c>
      <c r="AD83" t="s">
        <v>179</v>
      </c>
      <c r="AE83" t="s">
        <v>169</v>
      </c>
    </row>
    <row r="84" spans="1:31" x14ac:dyDescent="0.25">
      <c r="A84">
        <v>640854812</v>
      </c>
      <c r="B84" t="s">
        <v>50</v>
      </c>
      <c r="C84" s="7" t="s">
        <v>446</v>
      </c>
      <c r="D84" s="7"/>
      <c r="E84" s="7">
        <v>83</v>
      </c>
      <c r="F84" s="7">
        <v>627</v>
      </c>
      <c r="G84" s="7" t="s">
        <v>331</v>
      </c>
      <c r="H84" s="7">
        <v>144</v>
      </c>
      <c r="I84" s="7">
        <v>36</v>
      </c>
      <c r="J84">
        <v>1</v>
      </c>
      <c r="K84" t="s">
        <v>311</v>
      </c>
      <c r="L84">
        <v>2024</v>
      </c>
      <c r="M84">
        <v>0</v>
      </c>
      <c r="N84">
        <v>0</v>
      </c>
      <c r="O84" t="s">
        <v>140</v>
      </c>
      <c r="P84">
        <v>1</v>
      </c>
      <c r="Q84" t="s">
        <v>168</v>
      </c>
      <c r="R84" t="s">
        <v>168</v>
      </c>
      <c r="S84" t="s">
        <v>168</v>
      </c>
      <c r="T84" t="s">
        <v>168</v>
      </c>
      <c r="U84" t="s">
        <v>169</v>
      </c>
      <c r="V84" t="s">
        <v>169</v>
      </c>
      <c r="W84" t="s">
        <v>169</v>
      </c>
      <c r="X84" s="5">
        <v>45425</v>
      </c>
      <c r="Y84" s="5">
        <v>45565</v>
      </c>
      <c r="Z84" s="5">
        <v>45565</v>
      </c>
      <c r="AA84" s="5">
        <v>45604</v>
      </c>
      <c r="AB84" t="s">
        <v>171</v>
      </c>
      <c r="AC84" t="s">
        <v>172</v>
      </c>
      <c r="AD84" t="s">
        <v>173</v>
      </c>
      <c r="AE84" t="s">
        <v>169</v>
      </c>
    </row>
    <row r="85" spans="1:31" x14ac:dyDescent="0.25">
      <c r="A85">
        <v>640854812</v>
      </c>
      <c r="B85" t="s">
        <v>50</v>
      </c>
      <c r="C85" s="7" t="s">
        <v>446</v>
      </c>
      <c r="D85" s="7"/>
      <c r="E85" s="7">
        <v>84</v>
      </c>
      <c r="F85" s="7">
        <v>628</v>
      </c>
      <c r="G85" s="7" t="s">
        <v>328</v>
      </c>
      <c r="H85" s="7">
        <v>144</v>
      </c>
      <c r="I85" s="7">
        <v>36</v>
      </c>
      <c r="J85">
        <v>1</v>
      </c>
      <c r="K85" t="s">
        <v>312</v>
      </c>
      <c r="L85">
        <v>2024</v>
      </c>
      <c r="M85">
        <v>0</v>
      </c>
      <c r="N85">
        <v>0</v>
      </c>
      <c r="O85" t="s">
        <v>141</v>
      </c>
      <c r="P85">
        <v>1</v>
      </c>
      <c r="Q85" t="s">
        <v>168</v>
      </c>
      <c r="R85" t="s">
        <v>168</v>
      </c>
      <c r="S85" t="s">
        <v>168</v>
      </c>
      <c r="T85" t="s">
        <v>168</v>
      </c>
      <c r="U85" t="s">
        <v>169</v>
      </c>
      <c r="V85" t="s">
        <v>169</v>
      </c>
      <c r="W85" t="s">
        <v>169</v>
      </c>
      <c r="X85" s="5">
        <v>45439</v>
      </c>
      <c r="Y85" s="5">
        <v>45626</v>
      </c>
      <c r="Z85" s="5">
        <v>45626</v>
      </c>
      <c r="AA85" s="5">
        <v>45666</v>
      </c>
      <c r="AB85" t="s">
        <v>171</v>
      </c>
      <c r="AC85" t="s">
        <v>172</v>
      </c>
      <c r="AD85" t="s">
        <v>173</v>
      </c>
      <c r="AE85" t="s">
        <v>169</v>
      </c>
    </row>
    <row r="86" spans="1:31" x14ac:dyDescent="0.25">
      <c r="A86">
        <v>640854814</v>
      </c>
      <c r="B86" t="s">
        <v>51</v>
      </c>
      <c r="C86" s="7" t="s">
        <v>419</v>
      </c>
      <c r="D86" s="7"/>
      <c r="E86" s="7">
        <v>85</v>
      </c>
      <c r="F86" s="7">
        <v>629</v>
      </c>
      <c r="G86" s="7" t="s">
        <v>331</v>
      </c>
      <c r="H86" s="7">
        <v>146</v>
      </c>
      <c r="I86" s="7">
        <v>33</v>
      </c>
      <c r="J86">
        <v>1</v>
      </c>
      <c r="K86" t="s">
        <v>313</v>
      </c>
      <c r="L86">
        <v>2024</v>
      </c>
      <c r="M86">
        <v>0</v>
      </c>
      <c r="N86">
        <v>0</v>
      </c>
      <c r="O86" t="s">
        <v>142</v>
      </c>
      <c r="P86">
        <v>1</v>
      </c>
      <c r="Q86" t="s">
        <v>168</v>
      </c>
      <c r="R86" t="s">
        <v>168</v>
      </c>
      <c r="S86" t="s">
        <v>168</v>
      </c>
      <c r="T86" t="s">
        <v>168</v>
      </c>
      <c r="U86" t="s">
        <v>169</v>
      </c>
      <c r="V86" t="s">
        <v>169</v>
      </c>
      <c r="W86" t="s">
        <v>169</v>
      </c>
      <c r="X86" s="5">
        <v>45427</v>
      </c>
      <c r="Y86" s="5">
        <v>45626</v>
      </c>
      <c r="Z86" s="5">
        <v>45626</v>
      </c>
      <c r="AA86" s="5">
        <v>45664</v>
      </c>
      <c r="AB86" t="s">
        <v>171</v>
      </c>
      <c r="AC86" t="s">
        <v>172</v>
      </c>
      <c r="AD86" t="s">
        <v>173</v>
      </c>
      <c r="AE86" t="s">
        <v>169</v>
      </c>
    </row>
    <row r="87" spans="1:31" x14ac:dyDescent="0.25">
      <c r="A87">
        <v>640854815</v>
      </c>
      <c r="B87" t="s">
        <v>39</v>
      </c>
      <c r="C87" s="7" t="s">
        <v>449</v>
      </c>
      <c r="D87" s="7"/>
      <c r="E87" s="7">
        <v>86</v>
      </c>
      <c r="F87" s="7">
        <v>630</v>
      </c>
      <c r="G87" s="7" t="s">
        <v>331</v>
      </c>
      <c r="H87" s="7">
        <v>103</v>
      </c>
      <c r="I87" s="7">
        <v>37</v>
      </c>
      <c r="J87">
        <v>1</v>
      </c>
      <c r="K87" t="s">
        <v>314</v>
      </c>
      <c r="L87">
        <v>2024</v>
      </c>
      <c r="M87">
        <v>0</v>
      </c>
      <c r="N87">
        <v>0</v>
      </c>
      <c r="O87" t="s">
        <v>143</v>
      </c>
      <c r="P87">
        <v>1</v>
      </c>
      <c r="Q87" t="s">
        <v>168</v>
      </c>
      <c r="R87" t="s">
        <v>168</v>
      </c>
      <c r="S87" t="s">
        <v>168</v>
      </c>
      <c r="T87" t="s">
        <v>168</v>
      </c>
      <c r="U87" t="s">
        <v>169</v>
      </c>
      <c r="V87" t="s">
        <v>169</v>
      </c>
      <c r="W87" t="s">
        <v>169</v>
      </c>
      <c r="X87" s="5">
        <v>45427</v>
      </c>
      <c r="Y87" s="5">
        <v>45624</v>
      </c>
      <c r="Z87" s="5">
        <v>45624</v>
      </c>
      <c r="AA87" s="5">
        <v>45647</v>
      </c>
      <c r="AB87" t="s">
        <v>171</v>
      </c>
      <c r="AC87" t="s">
        <v>172</v>
      </c>
      <c r="AD87" t="s">
        <v>173</v>
      </c>
      <c r="AE87" t="s">
        <v>169</v>
      </c>
    </row>
    <row r="88" spans="1:31" x14ac:dyDescent="0.25">
      <c r="A88">
        <v>640853820</v>
      </c>
      <c r="B88" t="s">
        <v>48</v>
      </c>
      <c r="C88" t="s">
        <v>416</v>
      </c>
      <c r="E88">
        <v>87</v>
      </c>
      <c r="F88">
        <v>635</v>
      </c>
      <c r="G88" t="s">
        <v>366</v>
      </c>
      <c r="H88">
        <v>134</v>
      </c>
      <c r="I88">
        <v>1</v>
      </c>
      <c r="J88">
        <v>1</v>
      </c>
      <c r="K88" t="s">
        <v>234</v>
      </c>
      <c r="L88">
        <v>2024</v>
      </c>
      <c r="M88">
        <v>0</v>
      </c>
      <c r="N88">
        <v>0</v>
      </c>
      <c r="O88" t="s">
        <v>144</v>
      </c>
      <c r="P88">
        <v>1</v>
      </c>
      <c r="Q88" t="s">
        <v>168</v>
      </c>
      <c r="R88" t="s">
        <v>168</v>
      </c>
      <c r="S88" t="s">
        <v>168</v>
      </c>
      <c r="T88" t="s">
        <v>168</v>
      </c>
      <c r="U88" t="s">
        <v>169</v>
      </c>
      <c r="V88" t="s">
        <v>169</v>
      </c>
      <c r="W88" t="s">
        <v>169</v>
      </c>
      <c r="X88" s="5">
        <v>45441</v>
      </c>
      <c r="Y88" s="5">
        <v>45510</v>
      </c>
      <c r="Z88" s="5">
        <v>45510</v>
      </c>
      <c r="AA88" s="5">
        <v>45510</v>
      </c>
      <c r="AB88" t="s">
        <v>171</v>
      </c>
      <c r="AC88" t="s">
        <v>172</v>
      </c>
      <c r="AD88" t="s">
        <v>176</v>
      </c>
      <c r="AE88" t="s">
        <v>169</v>
      </c>
    </row>
    <row r="89" spans="1:31" x14ac:dyDescent="0.25">
      <c r="A89">
        <v>640854813</v>
      </c>
      <c r="B89" t="s">
        <v>30</v>
      </c>
      <c r="C89" s="7" t="s">
        <v>439</v>
      </c>
      <c r="D89" s="7"/>
      <c r="E89" s="7">
        <v>88</v>
      </c>
      <c r="F89" s="7">
        <v>639</v>
      </c>
      <c r="G89" s="7" t="s">
        <v>355</v>
      </c>
      <c r="H89" s="7">
        <v>145</v>
      </c>
      <c r="I89" s="7">
        <v>31</v>
      </c>
      <c r="J89">
        <v>1</v>
      </c>
      <c r="K89" t="s">
        <v>318</v>
      </c>
      <c r="L89">
        <v>2024</v>
      </c>
      <c r="M89">
        <v>0</v>
      </c>
      <c r="N89">
        <v>0</v>
      </c>
      <c r="O89" t="s">
        <v>145</v>
      </c>
      <c r="P89">
        <v>1</v>
      </c>
      <c r="Q89" t="s">
        <v>168</v>
      </c>
      <c r="R89" t="s">
        <v>168</v>
      </c>
      <c r="S89" t="s">
        <v>168</v>
      </c>
      <c r="T89" t="s">
        <v>168</v>
      </c>
      <c r="U89" t="s">
        <v>169</v>
      </c>
      <c r="V89" t="s">
        <v>169</v>
      </c>
      <c r="W89" t="s">
        <v>169</v>
      </c>
      <c r="X89" s="5">
        <v>45443</v>
      </c>
      <c r="Y89" s="5">
        <v>45586</v>
      </c>
      <c r="Z89" s="5">
        <v>45586</v>
      </c>
      <c r="AA89" s="5">
        <v>45614</v>
      </c>
      <c r="AB89" t="s">
        <v>171</v>
      </c>
      <c r="AC89" t="s">
        <v>172</v>
      </c>
      <c r="AD89" t="s">
        <v>173</v>
      </c>
      <c r="AE89" t="s">
        <v>169</v>
      </c>
    </row>
    <row r="90" spans="1:31" x14ac:dyDescent="0.25">
      <c r="A90">
        <v>640853844</v>
      </c>
      <c r="B90" t="s">
        <v>36</v>
      </c>
      <c r="C90" s="7" t="s">
        <v>427</v>
      </c>
      <c r="D90" s="7"/>
      <c r="E90" s="7">
        <v>89</v>
      </c>
      <c r="F90" s="7">
        <v>643</v>
      </c>
      <c r="G90" s="7" t="s">
        <v>353</v>
      </c>
      <c r="H90" s="7">
        <v>138</v>
      </c>
      <c r="I90" s="7">
        <v>21</v>
      </c>
      <c r="J90">
        <v>1</v>
      </c>
      <c r="K90" t="s">
        <v>238</v>
      </c>
      <c r="L90">
        <v>2024</v>
      </c>
      <c r="M90">
        <v>0</v>
      </c>
      <c r="N90">
        <v>0</v>
      </c>
      <c r="O90" t="s">
        <v>146</v>
      </c>
      <c r="P90">
        <v>1</v>
      </c>
      <c r="Q90" t="s">
        <v>168</v>
      </c>
      <c r="R90" t="s">
        <v>168</v>
      </c>
      <c r="S90" t="s">
        <v>168</v>
      </c>
      <c r="T90" t="s">
        <v>168</v>
      </c>
      <c r="U90" t="s">
        <v>169</v>
      </c>
      <c r="V90" t="s">
        <v>169</v>
      </c>
      <c r="W90" t="s">
        <v>169</v>
      </c>
      <c r="X90" s="5">
        <v>45447</v>
      </c>
      <c r="Y90" s="5">
        <v>45462</v>
      </c>
      <c r="Z90" s="5">
        <v>45459</v>
      </c>
      <c r="AA90" s="5">
        <v>45498</v>
      </c>
      <c r="AB90" t="s">
        <v>170</v>
      </c>
      <c r="AC90" t="s">
        <v>172</v>
      </c>
      <c r="AD90" t="s">
        <v>178</v>
      </c>
      <c r="AE90" t="s">
        <v>169</v>
      </c>
    </row>
    <row r="91" spans="1:31" x14ac:dyDescent="0.25">
      <c r="A91">
        <v>640854810</v>
      </c>
      <c r="B91" t="s">
        <v>49</v>
      </c>
      <c r="C91" s="7" t="s">
        <v>440</v>
      </c>
      <c r="D91" s="7"/>
      <c r="E91" s="7">
        <v>90</v>
      </c>
      <c r="F91" s="7">
        <v>644</v>
      </c>
      <c r="G91" s="7" t="s">
        <v>356</v>
      </c>
      <c r="H91" s="7">
        <v>142</v>
      </c>
      <c r="I91" s="7">
        <v>2</v>
      </c>
      <c r="J91">
        <v>1</v>
      </c>
      <c r="K91" t="s">
        <v>239</v>
      </c>
      <c r="L91">
        <v>2024</v>
      </c>
      <c r="M91">
        <v>0</v>
      </c>
      <c r="N91">
        <v>0</v>
      </c>
      <c r="O91" t="s">
        <v>147</v>
      </c>
      <c r="P91">
        <v>1</v>
      </c>
      <c r="Q91" t="s">
        <v>168</v>
      </c>
      <c r="R91" t="s">
        <v>168</v>
      </c>
      <c r="S91" t="s">
        <v>168</v>
      </c>
      <c r="T91" t="s">
        <v>168</v>
      </c>
      <c r="U91" t="s">
        <v>169</v>
      </c>
      <c r="V91" t="s">
        <v>169</v>
      </c>
      <c r="W91" t="s">
        <v>169</v>
      </c>
      <c r="X91" s="5">
        <v>45426</v>
      </c>
      <c r="Y91" s="5">
        <v>45468</v>
      </c>
      <c r="Z91" s="5">
        <v>45468</v>
      </c>
      <c r="AA91" s="5">
        <v>45485</v>
      </c>
      <c r="AB91" t="s">
        <v>171</v>
      </c>
      <c r="AC91" t="s">
        <v>172</v>
      </c>
      <c r="AD91" t="s">
        <v>179</v>
      </c>
      <c r="AE91" t="s">
        <v>169</v>
      </c>
    </row>
    <row r="92" spans="1:31" x14ac:dyDescent="0.25">
      <c r="A92">
        <v>640852801</v>
      </c>
      <c r="B92" t="s">
        <v>48</v>
      </c>
      <c r="C92" s="7" t="s">
        <v>447</v>
      </c>
      <c r="D92" s="7"/>
      <c r="E92" s="7">
        <v>91</v>
      </c>
      <c r="F92" s="7">
        <v>646</v>
      </c>
      <c r="G92" s="7" t="s">
        <v>371</v>
      </c>
      <c r="H92" s="7">
        <v>98</v>
      </c>
      <c r="I92" s="7">
        <v>38</v>
      </c>
      <c r="J92">
        <v>1</v>
      </c>
      <c r="K92" t="s">
        <v>321</v>
      </c>
      <c r="L92">
        <v>2024</v>
      </c>
      <c r="M92">
        <v>0</v>
      </c>
      <c r="N92">
        <v>0</v>
      </c>
      <c r="O92" t="s">
        <v>148</v>
      </c>
      <c r="P92">
        <v>1</v>
      </c>
      <c r="Q92" t="s">
        <v>168</v>
      </c>
      <c r="R92" t="s">
        <v>168</v>
      </c>
      <c r="S92" t="s">
        <v>168</v>
      </c>
      <c r="T92" t="s">
        <v>168</v>
      </c>
      <c r="U92" t="s">
        <v>169</v>
      </c>
      <c r="V92" t="s">
        <v>169</v>
      </c>
      <c r="W92" t="s">
        <v>169</v>
      </c>
      <c r="X92" s="5">
        <v>45439</v>
      </c>
      <c r="Y92" s="5">
        <v>45548</v>
      </c>
      <c r="Z92" s="5">
        <v>45548</v>
      </c>
      <c r="AA92" s="5">
        <v>45548</v>
      </c>
      <c r="AB92" t="s">
        <v>171</v>
      </c>
      <c r="AC92" t="s">
        <v>172</v>
      </c>
      <c r="AD92" t="s">
        <v>177</v>
      </c>
      <c r="AE92" t="s">
        <v>169</v>
      </c>
    </row>
    <row r="93" spans="1:31" x14ac:dyDescent="0.25">
      <c r="A93">
        <v>640853844</v>
      </c>
      <c r="B93" t="s">
        <v>36</v>
      </c>
      <c r="C93" s="7" t="s">
        <v>453</v>
      </c>
      <c r="D93" s="7"/>
      <c r="E93" s="7">
        <v>92</v>
      </c>
      <c r="F93" s="7">
        <v>648</v>
      </c>
      <c r="G93" s="7" t="s">
        <v>333</v>
      </c>
      <c r="H93" s="7">
        <v>138</v>
      </c>
      <c r="I93" s="7">
        <v>39</v>
      </c>
      <c r="J93">
        <v>1</v>
      </c>
      <c r="K93" t="s">
        <v>322</v>
      </c>
      <c r="L93">
        <v>2024</v>
      </c>
      <c r="M93">
        <v>0</v>
      </c>
      <c r="N93">
        <v>0</v>
      </c>
      <c r="O93" t="s">
        <v>149</v>
      </c>
      <c r="P93">
        <v>1</v>
      </c>
      <c r="Q93" t="s">
        <v>168</v>
      </c>
      <c r="R93" t="s">
        <v>168</v>
      </c>
      <c r="S93" t="s">
        <v>168</v>
      </c>
      <c r="T93" t="s">
        <v>168</v>
      </c>
      <c r="U93" t="s">
        <v>169</v>
      </c>
      <c r="V93" t="s">
        <v>169</v>
      </c>
      <c r="W93" t="s">
        <v>169</v>
      </c>
      <c r="X93" s="5">
        <v>45421</v>
      </c>
      <c r="Y93" s="5">
        <v>45532</v>
      </c>
      <c r="Z93" s="5"/>
      <c r="AA93" s="5">
        <v>45532</v>
      </c>
      <c r="AB93" t="s">
        <v>170</v>
      </c>
      <c r="AC93" t="s">
        <v>172</v>
      </c>
      <c r="AD93" t="s">
        <v>178</v>
      </c>
      <c r="AE93" t="s">
        <v>169</v>
      </c>
    </row>
    <row r="94" spans="1:31" x14ac:dyDescent="0.25">
      <c r="A94">
        <v>640853844</v>
      </c>
      <c r="B94" t="s">
        <v>36</v>
      </c>
      <c r="C94" s="7" t="s">
        <v>454</v>
      </c>
      <c r="D94" s="7"/>
      <c r="E94" s="7">
        <v>93</v>
      </c>
      <c r="F94" s="7">
        <v>649</v>
      </c>
      <c r="G94" s="7" t="s">
        <v>333</v>
      </c>
      <c r="H94" s="7">
        <v>138</v>
      </c>
      <c r="I94" s="7">
        <v>40</v>
      </c>
      <c r="J94">
        <v>1</v>
      </c>
      <c r="K94" t="s">
        <v>323</v>
      </c>
      <c r="L94">
        <v>2024</v>
      </c>
      <c r="M94">
        <v>0</v>
      </c>
      <c r="N94">
        <v>0</v>
      </c>
      <c r="O94" t="s">
        <v>150</v>
      </c>
      <c r="P94">
        <v>1</v>
      </c>
      <c r="Q94" t="s">
        <v>168</v>
      </c>
      <c r="R94" t="s">
        <v>168</v>
      </c>
      <c r="S94" t="s">
        <v>168</v>
      </c>
      <c r="T94" t="s">
        <v>168</v>
      </c>
      <c r="U94" t="s">
        <v>169</v>
      </c>
      <c r="V94" t="s">
        <v>169</v>
      </c>
      <c r="W94" t="s">
        <v>169</v>
      </c>
      <c r="X94" s="5">
        <v>45421</v>
      </c>
      <c r="Y94" s="5">
        <v>45532</v>
      </c>
      <c r="Z94" s="5"/>
      <c r="AA94" s="5">
        <v>45532</v>
      </c>
      <c r="AB94" t="s">
        <v>170</v>
      </c>
      <c r="AC94" t="s">
        <v>172</v>
      </c>
      <c r="AD94" t="s">
        <v>178</v>
      </c>
      <c r="AE94" t="s">
        <v>169</v>
      </c>
    </row>
    <row r="95" spans="1:31" x14ac:dyDescent="0.25">
      <c r="A95">
        <v>640852802</v>
      </c>
      <c r="B95" t="s">
        <v>44</v>
      </c>
      <c r="C95" s="7" t="s">
        <v>455</v>
      </c>
      <c r="D95" s="7"/>
      <c r="E95" s="7">
        <v>94</v>
      </c>
      <c r="F95" s="7">
        <v>653</v>
      </c>
      <c r="G95" s="7" t="s">
        <v>372</v>
      </c>
      <c r="H95" s="7">
        <v>63</v>
      </c>
      <c r="I95" s="7">
        <v>41</v>
      </c>
      <c r="J95">
        <v>1</v>
      </c>
      <c r="K95" t="s">
        <v>326</v>
      </c>
      <c r="L95">
        <v>2024</v>
      </c>
      <c r="M95">
        <v>0</v>
      </c>
      <c r="N95">
        <v>0</v>
      </c>
      <c r="O95" t="s">
        <v>151</v>
      </c>
      <c r="P95">
        <v>1</v>
      </c>
      <c r="Q95" t="s">
        <v>168</v>
      </c>
      <c r="R95" t="s">
        <v>168</v>
      </c>
      <c r="S95" t="s">
        <v>168</v>
      </c>
      <c r="T95" t="s">
        <v>168</v>
      </c>
      <c r="U95" t="s">
        <v>169</v>
      </c>
      <c r="V95" t="s">
        <v>169</v>
      </c>
      <c r="W95" t="s">
        <v>169</v>
      </c>
      <c r="X95" s="5">
        <v>45439</v>
      </c>
      <c r="Y95" s="5">
        <v>45504</v>
      </c>
      <c r="Z95" s="5">
        <v>45519</v>
      </c>
      <c r="AA95" s="5">
        <v>45519</v>
      </c>
      <c r="AB95" t="s">
        <v>171</v>
      </c>
      <c r="AC95" t="s">
        <v>172</v>
      </c>
      <c r="AD95" t="s">
        <v>176</v>
      </c>
      <c r="AE95" t="s">
        <v>169</v>
      </c>
    </row>
    <row r="96" spans="1:31" x14ac:dyDescent="0.25">
      <c r="A96">
        <v>640853819</v>
      </c>
      <c r="B96" t="s">
        <v>44</v>
      </c>
      <c r="C96" s="7" t="s">
        <v>457</v>
      </c>
      <c r="D96" s="7"/>
      <c r="E96" s="7">
        <v>95</v>
      </c>
      <c r="F96" s="7">
        <v>654</v>
      </c>
      <c r="G96" s="7" t="s">
        <v>355</v>
      </c>
      <c r="H96" s="7">
        <v>71</v>
      </c>
      <c r="I96" s="7">
        <v>42</v>
      </c>
      <c r="J96">
        <v>1</v>
      </c>
      <c r="K96" t="s">
        <v>373</v>
      </c>
      <c r="L96">
        <v>2024</v>
      </c>
      <c r="M96">
        <v>0</v>
      </c>
      <c r="N96">
        <v>0</v>
      </c>
      <c r="O96" t="s">
        <v>152</v>
      </c>
      <c r="P96">
        <v>1</v>
      </c>
      <c r="Q96" t="s">
        <v>168</v>
      </c>
      <c r="R96" t="s">
        <v>168</v>
      </c>
      <c r="S96" t="s">
        <v>168</v>
      </c>
      <c r="T96" t="s">
        <v>168</v>
      </c>
      <c r="U96" t="s">
        <v>169</v>
      </c>
      <c r="V96" t="s">
        <v>169</v>
      </c>
      <c r="W96" t="s">
        <v>169</v>
      </c>
      <c r="X96" s="5">
        <v>45460</v>
      </c>
      <c r="Y96" s="5">
        <v>45657</v>
      </c>
      <c r="Z96" s="5">
        <v>45657</v>
      </c>
      <c r="AA96" s="5">
        <v>45657</v>
      </c>
      <c r="AB96" t="s">
        <v>171</v>
      </c>
      <c r="AC96" t="s">
        <v>172</v>
      </c>
      <c r="AD96" t="s">
        <v>177</v>
      </c>
      <c r="AE96" t="s">
        <v>169</v>
      </c>
    </row>
    <row r="97" spans="1:31" x14ac:dyDescent="0.25">
      <c r="A97">
        <v>640853844</v>
      </c>
      <c r="B97" t="s">
        <v>36</v>
      </c>
      <c r="C97" t="s">
        <v>399</v>
      </c>
      <c r="E97">
        <v>96</v>
      </c>
      <c r="F97">
        <v>655</v>
      </c>
      <c r="G97" t="s">
        <v>338</v>
      </c>
      <c r="H97">
        <v>138</v>
      </c>
      <c r="I97">
        <v>6</v>
      </c>
      <c r="J97">
        <v>1</v>
      </c>
      <c r="K97" t="s">
        <v>337</v>
      </c>
      <c r="L97">
        <v>2024</v>
      </c>
      <c r="M97">
        <v>0</v>
      </c>
      <c r="N97">
        <v>0</v>
      </c>
      <c r="O97" t="s">
        <v>153</v>
      </c>
      <c r="P97">
        <v>1</v>
      </c>
      <c r="Q97" t="s">
        <v>168</v>
      </c>
      <c r="R97" t="s">
        <v>168</v>
      </c>
      <c r="S97" t="s">
        <v>168</v>
      </c>
      <c r="T97" t="s">
        <v>168</v>
      </c>
      <c r="U97" t="s">
        <v>169</v>
      </c>
      <c r="V97" t="s">
        <v>169</v>
      </c>
      <c r="W97" t="s">
        <v>169</v>
      </c>
      <c r="X97" s="5">
        <v>45469</v>
      </c>
      <c r="Y97" s="5">
        <v>45508</v>
      </c>
      <c r="Z97" s="5"/>
      <c r="AA97" s="5">
        <v>45508</v>
      </c>
      <c r="AB97" t="s">
        <v>170</v>
      </c>
      <c r="AC97" t="s">
        <v>172</v>
      </c>
      <c r="AD97" t="s">
        <v>178</v>
      </c>
      <c r="AE97" t="s">
        <v>169</v>
      </c>
    </row>
    <row r="98" spans="1:31" x14ac:dyDescent="0.25">
      <c r="A98">
        <v>640854812</v>
      </c>
      <c r="B98" t="s">
        <v>50</v>
      </c>
      <c r="C98" t="s">
        <v>417</v>
      </c>
      <c r="E98">
        <v>97</v>
      </c>
      <c r="F98">
        <v>656</v>
      </c>
      <c r="G98" t="s">
        <v>329</v>
      </c>
      <c r="H98">
        <v>144</v>
      </c>
      <c r="I98">
        <v>15</v>
      </c>
      <c r="J98">
        <v>1</v>
      </c>
      <c r="K98" t="s">
        <v>374</v>
      </c>
      <c r="L98">
        <v>2024</v>
      </c>
      <c r="M98">
        <v>0</v>
      </c>
      <c r="N98">
        <v>0</v>
      </c>
      <c r="O98" t="s">
        <v>154</v>
      </c>
      <c r="P98">
        <v>1</v>
      </c>
      <c r="Q98" t="s">
        <v>168</v>
      </c>
      <c r="R98" t="s">
        <v>168</v>
      </c>
      <c r="S98" t="s">
        <v>168</v>
      </c>
      <c r="T98" t="s">
        <v>168</v>
      </c>
      <c r="U98" t="s">
        <v>169</v>
      </c>
      <c r="V98" t="s">
        <v>169</v>
      </c>
      <c r="W98" t="s">
        <v>169</v>
      </c>
      <c r="X98" s="5">
        <v>45460</v>
      </c>
      <c r="Y98" s="5">
        <v>45515</v>
      </c>
      <c r="Z98" s="5">
        <v>45515</v>
      </c>
      <c r="AA98" s="5">
        <v>45600</v>
      </c>
      <c r="AB98" t="s">
        <v>171</v>
      </c>
      <c r="AC98" t="s">
        <v>172</v>
      </c>
      <c r="AD98" t="s">
        <v>179</v>
      </c>
      <c r="AE98" t="s">
        <v>169</v>
      </c>
    </row>
    <row r="99" spans="1:31" x14ac:dyDescent="0.25">
      <c r="A99">
        <v>640854812</v>
      </c>
      <c r="B99" t="s">
        <v>50</v>
      </c>
      <c r="C99" s="7" t="s">
        <v>429</v>
      </c>
      <c r="D99" s="7"/>
      <c r="E99" s="7">
        <v>98</v>
      </c>
      <c r="F99" s="7">
        <v>657</v>
      </c>
      <c r="G99" s="7" t="s">
        <v>330</v>
      </c>
      <c r="H99" s="7">
        <v>144</v>
      </c>
      <c r="I99" s="7">
        <v>43</v>
      </c>
      <c r="J99">
        <v>1</v>
      </c>
      <c r="K99" t="s">
        <v>375</v>
      </c>
      <c r="L99">
        <v>2024</v>
      </c>
      <c r="M99">
        <v>0</v>
      </c>
      <c r="N99">
        <v>0</v>
      </c>
      <c r="O99" t="s">
        <v>155</v>
      </c>
      <c r="P99">
        <v>1</v>
      </c>
      <c r="Q99" t="s">
        <v>168</v>
      </c>
      <c r="R99" t="s">
        <v>168</v>
      </c>
      <c r="S99" t="s">
        <v>168</v>
      </c>
      <c r="T99" t="s">
        <v>168</v>
      </c>
      <c r="U99" t="s">
        <v>169</v>
      </c>
      <c r="V99" t="s">
        <v>169</v>
      </c>
      <c r="W99" t="s">
        <v>169</v>
      </c>
      <c r="X99" s="5">
        <v>45460</v>
      </c>
      <c r="Y99" s="5">
        <v>45545</v>
      </c>
      <c r="Z99" s="5">
        <v>45585</v>
      </c>
      <c r="AA99" s="5">
        <v>45635</v>
      </c>
      <c r="AB99" t="s">
        <v>171</v>
      </c>
      <c r="AC99" t="s">
        <v>172</v>
      </c>
      <c r="AD99" t="s">
        <v>179</v>
      </c>
      <c r="AE99" t="s">
        <v>169</v>
      </c>
    </row>
    <row r="100" spans="1:31" x14ac:dyDescent="0.25">
      <c r="A100">
        <v>640854812</v>
      </c>
      <c r="B100" t="s">
        <v>50</v>
      </c>
      <c r="C100" t="s">
        <v>421</v>
      </c>
      <c r="E100">
        <v>99</v>
      </c>
      <c r="F100">
        <v>658</v>
      </c>
      <c r="G100" t="s">
        <v>332</v>
      </c>
      <c r="H100">
        <v>144</v>
      </c>
      <c r="I100">
        <v>16</v>
      </c>
      <c r="J100">
        <v>1</v>
      </c>
      <c r="K100" t="s">
        <v>376</v>
      </c>
      <c r="L100">
        <v>2024</v>
      </c>
      <c r="M100">
        <v>0</v>
      </c>
      <c r="N100">
        <v>0</v>
      </c>
      <c r="O100" t="s">
        <v>156</v>
      </c>
      <c r="P100">
        <v>1</v>
      </c>
      <c r="Q100" t="s">
        <v>168</v>
      </c>
      <c r="R100" t="s">
        <v>168</v>
      </c>
      <c r="S100" t="s">
        <v>168</v>
      </c>
      <c r="T100" t="s">
        <v>168</v>
      </c>
      <c r="U100" t="s">
        <v>169</v>
      </c>
      <c r="V100" t="s">
        <v>169</v>
      </c>
      <c r="W100" t="s">
        <v>169</v>
      </c>
      <c r="X100" s="5">
        <v>45460</v>
      </c>
      <c r="Y100" s="5">
        <v>45585</v>
      </c>
      <c r="Z100" s="5">
        <v>45510</v>
      </c>
      <c r="AA100" s="5">
        <v>45560</v>
      </c>
      <c r="AB100" t="s">
        <v>171</v>
      </c>
      <c r="AC100" t="s">
        <v>172</v>
      </c>
      <c r="AD100" t="s">
        <v>179</v>
      </c>
      <c r="AE100" t="s">
        <v>169</v>
      </c>
    </row>
    <row r="101" spans="1:31" x14ac:dyDescent="0.25">
      <c r="A101">
        <v>640854815</v>
      </c>
      <c r="B101" t="s">
        <v>39</v>
      </c>
      <c r="C101" t="s">
        <v>416</v>
      </c>
      <c r="E101">
        <v>100</v>
      </c>
      <c r="F101">
        <v>659</v>
      </c>
      <c r="G101" t="s">
        <v>328</v>
      </c>
      <c r="H101">
        <v>103</v>
      </c>
      <c r="I101">
        <v>1</v>
      </c>
      <c r="J101">
        <v>1</v>
      </c>
      <c r="K101" t="s">
        <v>315</v>
      </c>
      <c r="L101">
        <v>2024</v>
      </c>
      <c r="M101">
        <v>0</v>
      </c>
      <c r="N101">
        <v>0</v>
      </c>
      <c r="O101" t="s">
        <v>157</v>
      </c>
      <c r="P101">
        <v>1</v>
      </c>
      <c r="Q101" t="s">
        <v>168</v>
      </c>
      <c r="R101" t="s">
        <v>168</v>
      </c>
      <c r="S101" t="s">
        <v>168</v>
      </c>
      <c r="T101" t="s">
        <v>168</v>
      </c>
      <c r="U101" t="s">
        <v>169</v>
      </c>
      <c r="V101" t="s">
        <v>169</v>
      </c>
      <c r="W101" t="s">
        <v>169</v>
      </c>
      <c r="X101" s="5">
        <v>45476</v>
      </c>
      <c r="Y101" s="5">
        <v>45590</v>
      </c>
      <c r="Z101" s="5">
        <v>45590</v>
      </c>
      <c r="AA101" s="5">
        <v>45605</v>
      </c>
      <c r="AB101" t="s">
        <v>171</v>
      </c>
      <c r="AC101" t="s">
        <v>172</v>
      </c>
      <c r="AD101" t="s">
        <v>179</v>
      </c>
      <c r="AE101" t="s">
        <v>169</v>
      </c>
    </row>
    <row r="102" spans="1:31" x14ac:dyDescent="0.25">
      <c r="A102">
        <v>640854815</v>
      </c>
      <c r="B102" t="s">
        <v>39</v>
      </c>
      <c r="C102" s="7" t="s">
        <v>439</v>
      </c>
      <c r="D102" s="7"/>
      <c r="E102" s="7">
        <v>101</v>
      </c>
      <c r="F102" s="7">
        <v>660</v>
      </c>
      <c r="G102" s="7" t="s">
        <v>332</v>
      </c>
      <c r="H102" s="7">
        <v>103</v>
      </c>
      <c r="I102" s="7">
        <v>31</v>
      </c>
      <c r="J102">
        <v>1</v>
      </c>
      <c r="K102" t="s">
        <v>343</v>
      </c>
      <c r="L102">
        <v>2024</v>
      </c>
      <c r="M102">
        <v>0</v>
      </c>
      <c r="N102">
        <v>0</v>
      </c>
      <c r="O102" t="s">
        <v>158</v>
      </c>
      <c r="P102">
        <v>1</v>
      </c>
      <c r="Q102" t="s">
        <v>168</v>
      </c>
      <c r="R102" t="s">
        <v>168</v>
      </c>
      <c r="S102" t="s">
        <v>168</v>
      </c>
      <c r="T102" t="s">
        <v>168</v>
      </c>
      <c r="U102" t="s">
        <v>169</v>
      </c>
      <c r="V102" t="s">
        <v>169</v>
      </c>
      <c r="W102" t="s">
        <v>169</v>
      </c>
      <c r="X102" s="5">
        <v>45476</v>
      </c>
      <c r="Y102" s="5">
        <v>45652</v>
      </c>
      <c r="Z102" s="5">
        <v>45652</v>
      </c>
      <c r="AA102" s="5">
        <v>45665</v>
      </c>
      <c r="AB102" t="s">
        <v>171</v>
      </c>
      <c r="AC102" t="s">
        <v>172</v>
      </c>
      <c r="AD102" t="s">
        <v>173</v>
      </c>
      <c r="AE102" t="s">
        <v>169</v>
      </c>
    </row>
    <row r="103" spans="1:31" x14ac:dyDescent="0.25">
      <c r="A103">
        <v>640853820</v>
      </c>
      <c r="B103" t="s">
        <v>48</v>
      </c>
      <c r="C103" s="7" t="s">
        <v>446</v>
      </c>
      <c r="D103" s="7"/>
      <c r="E103" s="7">
        <v>102</v>
      </c>
      <c r="F103" s="7">
        <v>662</v>
      </c>
      <c r="G103" s="7" t="s">
        <v>354</v>
      </c>
      <c r="H103" s="7">
        <v>134</v>
      </c>
      <c r="I103" s="7">
        <v>36</v>
      </c>
      <c r="J103">
        <v>1</v>
      </c>
      <c r="K103" t="s">
        <v>344</v>
      </c>
      <c r="L103">
        <v>2024</v>
      </c>
      <c r="M103">
        <v>0</v>
      </c>
      <c r="N103">
        <v>0</v>
      </c>
      <c r="O103" t="s">
        <v>159</v>
      </c>
      <c r="P103">
        <v>1</v>
      </c>
      <c r="Q103" t="s">
        <v>168</v>
      </c>
      <c r="R103" t="s">
        <v>168</v>
      </c>
      <c r="S103" t="s">
        <v>168</v>
      </c>
      <c r="T103" t="s">
        <v>168</v>
      </c>
      <c r="U103" t="s">
        <v>169</v>
      </c>
      <c r="V103" t="s">
        <v>169</v>
      </c>
      <c r="W103" t="s">
        <v>169</v>
      </c>
      <c r="X103" s="5">
        <v>45485</v>
      </c>
      <c r="Y103" s="5">
        <v>45514</v>
      </c>
      <c r="Z103" s="5">
        <v>45514</v>
      </c>
      <c r="AA103" s="5">
        <v>45514</v>
      </c>
      <c r="AB103" t="s">
        <v>171</v>
      </c>
      <c r="AC103" t="s">
        <v>172</v>
      </c>
      <c r="AD103" t="s">
        <v>177</v>
      </c>
      <c r="AE103" t="s">
        <v>169</v>
      </c>
    </row>
    <row r="104" spans="1:31" x14ac:dyDescent="0.25">
      <c r="A104">
        <v>640854810</v>
      </c>
      <c r="B104" t="s">
        <v>49</v>
      </c>
      <c r="C104" s="7" t="s">
        <v>419</v>
      </c>
      <c r="D104" s="7"/>
      <c r="E104" s="7">
        <v>103</v>
      </c>
      <c r="F104" s="7">
        <v>664</v>
      </c>
      <c r="G104" s="7" t="s">
        <v>357</v>
      </c>
      <c r="H104" s="7">
        <v>142</v>
      </c>
      <c r="I104" s="7">
        <v>33</v>
      </c>
      <c r="J104">
        <v>1</v>
      </c>
      <c r="K104" t="s">
        <v>345</v>
      </c>
      <c r="L104">
        <v>2024</v>
      </c>
      <c r="M104">
        <v>0</v>
      </c>
      <c r="N104">
        <v>0</v>
      </c>
      <c r="O104" t="s">
        <v>160</v>
      </c>
      <c r="P104">
        <v>1</v>
      </c>
      <c r="Q104" t="s">
        <v>168</v>
      </c>
      <c r="R104" t="s">
        <v>168</v>
      </c>
      <c r="S104" t="s">
        <v>168</v>
      </c>
      <c r="T104" t="s">
        <v>168</v>
      </c>
      <c r="U104" t="s">
        <v>169</v>
      </c>
      <c r="V104" t="s">
        <v>169</v>
      </c>
      <c r="W104" t="s">
        <v>169</v>
      </c>
      <c r="X104" s="5">
        <v>45476</v>
      </c>
      <c r="Y104" s="5">
        <v>45547</v>
      </c>
      <c r="Z104" s="5">
        <v>45547</v>
      </c>
      <c r="AA104" s="5">
        <v>45550</v>
      </c>
      <c r="AB104" t="s">
        <v>171</v>
      </c>
      <c r="AC104" t="s">
        <v>172</v>
      </c>
      <c r="AD104" t="s">
        <v>177</v>
      </c>
      <c r="AE104" t="s">
        <v>169</v>
      </c>
    </row>
    <row r="105" spans="1:31" x14ac:dyDescent="0.25">
      <c r="A105">
        <v>640853819</v>
      </c>
      <c r="B105" t="s">
        <v>44</v>
      </c>
      <c r="C105" s="7" t="s">
        <v>446</v>
      </c>
      <c r="D105" s="7"/>
      <c r="E105" s="7">
        <v>104</v>
      </c>
      <c r="F105" s="7">
        <v>668</v>
      </c>
      <c r="G105" s="7" t="s">
        <v>355</v>
      </c>
      <c r="H105" s="7">
        <v>71</v>
      </c>
      <c r="I105" s="7">
        <v>36</v>
      </c>
      <c r="J105">
        <v>1</v>
      </c>
      <c r="K105" t="s">
        <v>346</v>
      </c>
      <c r="L105">
        <v>2024</v>
      </c>
      <c r="M105">
        <v>0</v>
      </c>
      <c r="N105">
        <v>0</v>
      </c>
      <c r="O105" t="s">
        <v>161</v>
      </c>
      <c r="P105">
        <v>1</v>
      </c>
      <c r="Q105" t="s">
        <v>168</v>
      </c>
      <c r="R105" t="s">
        <v>168</v>
      </c>
      <c r="S105" t="s">
        <v>168</v>
      </c>
      <c r="T105" t="s">
        <v>168</v>
      </c>
      <c r="U105" t="s">
        <v>169</v>
      </c>
      <c r="V105" t="s">
        <v>169</v>
      </c>
      <c r="W105" t="s">
        <v>169</v>
      </c>
      <c r="X105" s="5">
        <v>45474</v>
      </c>
      <c r="Y105" s="5">
        <v>45657</v>
      </c>
      <c r="Z105" s="5">
        <v>45657</v>
      </c>
      <c r="AA105" s="5">
        <v>45657</v>
      </c>
      <c r="AB105" t="s">
        <v>171</v>
      </c>
      <c r="AC105" t="s">
        <v>172</v>
      </c>
      <c r="AD105" t="s">
        <v>177</v>
      </c>
      <c r="AE105" t="s">
        <v>169</v>
      </c>
    </row>
    <row r="106" spans="1:31" x14ac:dyDescent="0.25">
      <c r="A106">
        <v>640853844</v>
      </c>
      <c r="B106" t="s">
        <v>36</v>
      </c>
      <c r="C106" t="s">
        <v>399</v>
      </c>
      <c r="E106">
        <v>105</v>
      </c>
      <c r="F106">
        <v>670</v>
      </c>
      <c r="G106" t="s">
        <v>349</v>
      </c>
      <c r="H106">
        <v>138</v>
      </c>
      <c r="I106">
        <v>6</v>
      </c>
      <c r="J106">
        <v>1</v>
      </c>
      <c r="K106" t="s">
        <v>348</v>
      </c>
      <c r="L106">
        <v>2024</v>
      </c>
      <c r="M106">
        <v>0</v>
      </c>
      <c r="N106">
        <v>0</v>
      </c>
      <c r="O106" t="s">
        <v>162</v>
      </c>
      <c r="P106">
        <v>1</v>
      </c>
      <c r="Q106" t="s">
        <v>168</v>
      </c>
      <c r="R106" t="s">
        <v>168</v>
      </c>
      <c r="S106" t="s">
        <v>168</v>
      </c>
      <c r="T106" t="s">
        <v>168</v>
      </c>
      <c r="U106" t="s">
        <v>169</v>
      </c>
      <c r="V106" t="s">
        <v>169</v>
      </c>
      <c r="W106" t="s">
        <v>169</v>
      </c>
      <c r="X106" s="5">
        <v>45466</v>
      </c>
      <c r="Y106" s="5">
        <v>45486</v>
      </c>
      <c r="Z106" s="5">
        <v>45489</v>
      </c>
      <c r="AA106" s="5">
        <v>45504</v>
      </c>
      <c r="AB106" t="s">
        <v>170</v>
      </c>
      <c r="AC106" t="s">
        <v>172</v>
      </c>
      <c r="AD106" t="s">
        <v>178</v>
      </c>
      <c r="AE106" t="s">
        <v>169</v>
      </c>
    </row>
    <row r="107" spans="1:31" x14ac:dyDescent="0.25">
      <c r="A107">
        <v>640852800</v>
      </c>
      <c r="B107" t="s">
        <v>52</v>
      </c>
      <c r="C107" t="s">
        <v>431</v>
      </c>
      <c r="E107">
        <v>106</v>
      </c>
      <c r="F107">
        <v>671</v>
      </c>
      <c r="G107" t="s">
        <v>355</v>
      </c>
      <c r="H107">
        <v>100</v>
      </c>
      <c r="I107">
        <v>24</v>
      </c>
      <c r="J107">
        <v>1</v>
      </c>
      <c r="K107" t="s">
        <v>377</v>
      </c>
      <c r="L107">
        <v>2024</v>
      </c>
      <c r="M107">
        <v>0</v>
      </c>
      <c r="N107">
        <v>0</v>
      </c>
      <c r="O107" t="s">
        <v>163</v>
      </c>
      <c r="P107">
        <v>1</v>
      </c>
      <c r="Q107" t="s">
        <v>168</v>
      </c>
      <c r="R107" t="s">
        <v>168</v>
      </c>
      <c r="S107" t="s">
        <v>168</v>
      </c>
      <c r="T107" t="s">
        <v>168</v>
      </c>
      <c r="U107" t="s">
        <v>169</v>
      </c>
      <c r="V107" t="s">
        <v>169</v>
      </c>
      <c r="W107" t="s">
        <v>169</v>
      </c>
      <c r="X107" s="5"/>
      <c r="Y107" s="5"/>
      <c r="Z107" s="5"/>
      <c r="AA107" s="5"/>
      <c r="AB107" t="s">
        <v>171</v>
      </c>
      <c r="AC107" t="s">
        <v>172</v>
      </c>
      <c r="AE107" t="s">
        <v>169</v>
      </c>
    </row>
    <row r="108" spans="1:31" x14ac:dyDescent="0.25">
      <c r="A108">
        <v>640854812</v>
      </c>
      <c r="B108" t="s">
        <v>50</v>
      </c>
      <c r="C108" t="s">
        <v>418</v>
      </c>
      <c r="E108">
        <v>108</v>
      </c>
      <c r="F108">
        <v>673</v>
      </c>
      <c r="G108" t="s">
        <v>356</v>
      </c>
      <c r="H108">
        <v>144</v>
      </c>
      <c r="I108">
        <v>11</v>
      </c>
      <c r="J108">
        <v>1</v>
      </c>
      <c r="K108" t="s">
        <v>350</v>
      </c>
      <c r="L108">
        <v>2024</v>
      </c>
      <c r="M108">
        <v>0</v>
      </c>
      <c r="N108">
        <v>0</v>
      </c>
      <c r="O108" t="s">
        <v>165</v>
      </c>
      <c r="P108">
        <v>1</v>
      </c>
      <c r="Q108" t="s">
        <v>168</v>
      </c>
      <c r="R108" t="s">
        <v>168</v>
      </c>
      <c r="S108" t="s">
        <v>168</v>
      </c>
      <c r="T108" t="s">
        <v>168</v>
      </c>
      <c r="U108" t="s">
        <v>169</v>
      </c>
      <c r="V108" t="s">
        <v>169</v>
      </c>
      <c r="W108" t="s">
        <v>169</v>
      </c>
      <c r="X108" s="5">
        <v>45505</v>
      </c>
      <c r="Y108" s="5">
        <v>45769</v>
      </c>
      <c r="Z108" s="5">
        <v>45769</v>
      </c>
      <c r="AA108" s="5">
        <v>45808</v>
      </c>
      <c r="AB108" t="s">
        <v>171</v>
      </c>
      <c r="AC108" t="s">
        <v>172</v>
      </c>
      <c r="AD108" t="s">
        <v>173</v>
      </c>
      <c r="AE108" t="s">
        <v>169</v>
      </c>
    </row>
    <row r="109" spans="1:31" x14ac:dyDescent="0.25">
      <c r="A109">
        <v>640854812</v>
      </c>
      <c r="B109" t="s">
        <v>50</v>
      </c>
      <c r="C109" t="s">
        <v>423</v>
      </c>
      <c r="E109">
        <v>109</v>
      </c>
      <c r="F109">
        <v>674</v>
      </c>
      <c r="G109" t="s">
        <v>357</v>
      </c>
      <c r="H109">
        <v>144</v>
      </c>
      <c r="I109">
        <v>12</v>
      </c>
      <c r="J109">
        <v>1</v>
      </c>
      <c r="K109" t="s">
        <v>351</v>
      </c>
      <c r="L109">
        <v>2024</v>
      </c>
      <c r="M109">
        <v>0</v>
      </c>
      <c r="N109">
        <v>0</v>
      </c>
      <c r="O109" t="s">
        <v>166</v>
      </c>
      <c r="P109">
        <v>1</v>
      </c>
      <c r="Q109" t="s">
        <v>168</v>
      </c>
      <c r="R109" t="s">
        <v>168</v>
      </c>
      <c r="S109" t="s">
        <v>168</v>
      </c>
      <c r="T109" t="s">
        <v>168</v>
      </c>
      <c r="U109" t="s">
        <v>169</v>
      </c>
      <c r="V109" t="s">
        <v>169</v>
      </c>
      <c r="W109" t="s">
        <v>169</v>
      </c>
      <c r="X109" s="5">
        <v>45500</v>
      </c>
      <c r="Y109" s="5">
        <v>45705</v>
      </c>
      <c r="Z109" s="5">
        <v>45705</v>
      </c>
      <c r="AA109" s="5">
        <v>45745</v>
      </c>
      <c r="AB109" t="s">
        <v>171</v>
      </c>
      <c r="AC109" t="s">
        <v>172</v>
      </c>
      <c r="AD109" t="s">
        <v>173</v>
      </c>
      <c r="AE109" t="s">
        <v>169</v>
      </c>
    </row>
    <row r="110" spans="1:31" x14ac:dyDescent="0.25">
      <c r="A110">
        <v>640854812</v>
      </c>
      <c r="B110" t="s">
        <v>50</v>
      </c>
      <c r="C110" t="s">
        <v>423</v>
      </c>
      <c r="E110">
        <v>110</v>
      </c>
      <c r="F110">
        <v>675</v>
      </c>
      <c r="G110" t="s">
        <v>358</v>
      </c>
      <c r="H110">
        <v>144</v>
      </c>
      <c r="I110">
        <v>12</v>
      </c>
      <c r="J110">
        <v>1</v>
      </c>
      <c r="K110" t="s">
        <v>352</v>
      </c>
      <c r="L110">
        <v>2024</v>
      </c>
      <c r="M110">
        <v>0</v>
      </c>
      <c r="N110">
        <v>0</v>
      </c>
      <c r="O110" t="s">
        <v>167</v>
      </c>
      <c r="P110">
        <v>1</v>
      </c>
      <c r="Q110" t="s">
        <v>168</v>
      </c>
      <c r="R110" t="s">
        <v>168</v>
      </c>
      <c r="S110" t="s">
        <v>168</v>
      </c>
      <c r="T110" t="s">
        <v>168</v>
      </c>
      <c r="U110" t="s">
        <v>169</v>
      </c>
      <c r="V110" t="s">
        <v>169</v>
      </c>
      <c r="W110" t="s">
        <v>169</v>
      </c>
      <c r="X110" s="5">
        <v>45500</v>
      </c>
      <c r="Y110" s="5">
        <v>38506</v>
      </c>
      <c r="Z110" s="5">
        <v>38506</v>
      </c>
      <c r="AA110" s="5">
        <v>45841</v>
      </c>
      <c r="AB110" t="s">
        <v>171</v>
      </c>
      <c r="AC110" t="s">
        <v>172</v>
      </c>
      <c r="AD110" t="s">
        <v>173</v>
      </c>
    </row>
  </sheetData>
  <autoFilter ref="E2:AE110" xr:uid="{FA48B530-5C44-4343-A419-C52632A9449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30CB-037C-428E-AD95-FD0F2EB12C67}">
  <dimension ref="B2:C109"/>
  <sheetViews>
    <sheetView topLeftCell="A25" workbookViewId="0">
      <selection activeCell="C2" sqref="C2:C109"/>
    </sheetView>
  </sheetViews>
  <sheetFormatPr baseColWidth="10" defaultRowHeight="15" x14ac:dyDescent="0.25"/>
  <cols>
    <col min="2" max="2" width="23.5703125" bestFit="1" customWidth="1"/>
  </cols>
  <sheetData>
    <row r="2" spans="2:3" x14ac:dyDescent="0.25">
      <c r="B2" t="s">
        <v>425</v>
      </c>
      <c r="C2" t="e">
        <f>VLOOKUP(B2,Hoja8!$A$3:$D$21,2,FALSE)</f>
        <v>#N/A</v>
      </c>
    </row>
    <row r="3" spans="2:3" x14ac:dyDescent="0.25">
      <c r="B3" t="s">
        <v>414</v>
      </c>
      <c r="C3">
        <f>VLOOKUP(B3,Hoja8!$A$3:$D$21,2,FALSE)</f>
        <v>18</v>
      </c>
    </row>
    <row r="4" spans="2:3" x14ac:dyDescent="0.25">
      <c r="B4" t="s">
        <v>415</v>
      </c>
      <c r="C4">
        <f>VLOOKUP(B4,Hoja8!$A$3:$D$21,2,FALSE)</f>
        <v>14</v>
      </c>
    </row>
    <row r="5" spans="2:3" x14ac:dyDescent="0.25">
      <c r="B5" t="s">
        <v>415</v>
      </c>
      <c r="C5">
        <f>VLOOKUP(B5,Hoja8!$A$3:$D$21,2,FALSE)</f>
        <v>14</v>
      </c>
    </row>
    <row r="6" spans="2:3" x14ac:dyDescent="0.25">
      <c r="B6" t="s">
        <v>415</v>
      </c>
      <c r="C6">
        <f>VLOOKUP(B6,Hoja8!$A$3:$D$21,2,FALSE)</f>
        <v>14</v>
      </c>
    </row>
    <row r="7" spans="2:3" x14ac:dyDescent="0.25">
      <c r="B7" t="s">
        <v>426</v>
      </c>
      <c r="C7">
        <f>VLOOKUP(B7,Hoja8!$A$3:$D$21,2,FALSE)</f>
        <v>17</v>
      </c>
    </row>
    <row r="8" spans="2:3" x14ac:dyDescent="0.25">
      <c r="B8" t="s">
        <v>414</v>
      </c>
      <c r="C8">
        <f>VLOOKUP(B8,Hoja8!$A$3:$D$21,2,FALSE)</f>
        <v>18</v>
      </c>
    </row>
    <row r="9" spans="2:3" x14ac:dyDescent="0.25">
      <c r="B9" t="s">
        <v>427</v>
      </c>
      <c r="C9" t="e">
        <f>VLOOKUP(B9,Hoja8!$A$3:$D$21,2,FALSE)</f>
        <v>#N/A</v>
      </c>
    </row>
    <row r="10" spans="2:3" x14ac:dyDescent="0.25">
      <c r="B10" t="s">
        <v>428</v>
      </c>
      <c r="C10" t="e">
        <f>VLOOKUP(B10,Hoja8!$A$3:$D$21,2,FALSE)</f>
        <v>#N/A</v>
      </c>
    </row>
    <row r="11" spans="2:3" x14ac:dyDescent="0.25">
      <c r="B11" t="s">
        <v>403</v>
      </c>
      <c r="C11">
        <f>VLOOKUP(B11,Hoja8!$A$3:$D$21,2,FALSE)</f>
        <v>10</v>
      </c>
    </row>
    <row r="12" spans="2:3" x14ac:dyDescent="0.25">
      <c r="B12" t="s">
        <v>403</v>
      </c>
      <c r="C12">
        <f>VLOOKUP(B12,Hoja8!$A$3:$D$21,2,FALSE)</f>
        <v>10</v>
      </c>
    </row>
    <row r="13" spans="2:3" x14ac:dyDescent="0.25">
      <c r="B13" t="s">
        <v>399</v>
      </c>
      <c r="C13">
        <f>VLOOKUP(B13,Hoja8!$A$3:$D$21,2,FALSE)</f>
        <v>6</v>
      </c>
    </row>
    <row r="14" spans="2:3" x14ac:dyDescent="0.25">
      <c r="B14" t="s">
        <v>412</v>
      </c>
      <c r="C14">
        <f>VLOOKUP(B14,Hoja8!$A$3:$D$21,2,FALSE)</f>
        <v>19</v>
      </c>
    </row>
    <row r="15" spans="2:3" x14ac:dyDescent="0.25">
      <c r="B15" t="s">
        <v>416</v>
      </c>
      <c r="C15">
        <f>VLOOKUP(B15,Hoja8!$A$3:$D$21,2,FALSE)</f>
        <v>1</v>
      </c>
    </row>
    <row r="16" spans="2:3" x14ac:dyDescent="0.25">
      <c r="B16" t="s">
        <v>420</v>
      </c>
      <c r="C16" t="e">
        <f>VLOOKUP(B16,Hoja8!$A$3:$D$21,2,FALSE)</f>
        <v>#N/A</v>
      </c>
    </row>
    <row r="17" spans="2:3" x14ac:dyDescent="0.25">
      <c r="B17" t="s">
        <v>416</v>
      </c>
      <c r="C17">
        <f>VLOOKUP(B17,Hoja8!$A$3:$D$21,2,FALSE)</f>
        <v>1</v>
      </c>
    </row>
    <row r="18" spans="2:3" x14ac:dyDescent="0.25">
      <c r="B18" t="s">
        <v>417</v>
      </c>
      <c r="C18">
        <f>VLOOKUP(B18,Hoja8!$A$3:$D$21,2,FALSE)</f>
        <v>15</v>
      </c>
    </row>
    <row r="19" spans="2:3" x14ac:dyDescent="0.25">
      <c r="B19" t="s">
        <v>431</v>
      </c>
      <c r="C19" t="e">
        <f>VLOOKUP(B19,Hoja8!$A$3:$D$21,2,FALSE)</f>
        <v>#N/A</v>
      </c>
    </row>
    <row r="20" spans="2:3" x14ac:dyDescent="0.25">
      <c r="B20" t="s">
        <v>430</v>
      </c>
      <c r="C20" t="e">
        <f>VLOOKUP(B20,Hoja8!$A$3:$D$21,2,FALSE)</f>
        <v>#N/A</v>
      </c>
    </row>
    <row r="21" spans="2:3" x14ac:dyDescent="0.25">
      <c r="B21" t="s">
        <v>416</v>
      </c>
      <c r="C21">
        <f>VLOOKUP(B21,Hoja8!$A$3:$D$21,2,FALSE)</f>
        <v>1</v>
      </c>
    </row>
    <row r="22" spans="2:3" x14ac:dyDescent="0.25">
      <c r="B22" t="s">
        <v>432</v>
      </c>
      <c r="C22" t="e">
        <f>VLOOKUP(B22,Hoja8!$A$3:$D$21,2,FALSE)</f>
        <v>#N/A</v>
      </c>
    </row>
    <row r="23" spans="2:3" x14ac:dyDescent="0.25">
      <c r="B23" t="s">
        <v>415</v>
      </c>
      <c r="C23">
        <f>VLOOKUP(B23,Hoja8!$A$3:$D$21,2,FALSE)</f>
        <v>14</v>
      </c>
    </row>
    <row r="24" spans="2:3" x14ac:dyDescent="0.25">
      <c r="B24" t="s">
        <v>435</v>
      </c>
      <c r="C24" t="e">
        <f>VLOOKUP(B24,Hoja8!$A$3:$D$21,2,FALSE)</f>
        <v>#N/A</v>
      </c>
    </row>
    <row r="25" spans="2:3" x14ac:dyDescent="0.25">
      <c r="B25" t="s">
        <v>436</v>
      </c>
      <c r="C25" t="e">
        <f>VLOOKUP(B25,Hoja8!$A$3:$D$21,2,FALSE)</f>
        <v>#N/A</v>
      </c>
    </row>
    <row r="26" spans="2:3" x14ac:dyDescent="0.25">
      <c r="B26" t="s">
        <v>437</v>
      </c>
      <c r="C26" t="e">
        <f>VLOOKUP(B26,Hoja8!$A$3:$D$21,2,FALSE)</f>
        <v>#N/A</v>
      </c>
    </row>
    <row r="27" spans="2:3" x14ac:dyDescent="0.25">
      <c r="B27" t="s">
        <v>416</v>
      </c>
      <c r="C27">
        <f>VLOOKUP(B27,Hoja8!$A$3:$D$21,2,FALSE)</f>
        <v>1</v>
      </c>
    </row>
    <row r="28" spans="2:3" x14ac:dyDescent="0.25">
      <c r="B28" t="s">
        <v>416</v>
      </c>
      <c r="C28">
        <f>VLOOKUP(B28,Hoja8!$A$3:$D$21,2,FALSE)</f>
        <v>1</v>
      </c>
    </row>
    <row r="29" spans="2:3" x14ac:dyDescent="0.25">
      <c r="B29" t="s">
        <v>438</v>
      </c>
      <c r="C29" t="e">
        <f>VLOOKUP(B29,Hoja8!$A$3:$D$21,2,FALSE)</f>
        <v>#N/A</v>
      </c>
    </row>
    <row r="30" spans="2:3" x14ac:dyDescent="0.25">
      <c r="B30" t="s">
        <v>414</v>
      </c>
      <c r="C30">
        <f>VLOOKUP(B30,Hoja8!$A$3:$D$21,2,FALSE)</f>
        <v>18</v>
      </c>
    </row>
    <row r="31" spans="2:3" x14ac:dyDescent="0.25">
      <c r="B31" t="s">
        <v>439</v>
      </c>
      <c r="C31" t="e">
        <f>VLOOKUP(B31,Hoja8!$A$3:$D$21,2,FALSE)</f>
        <v>#N/A</v>
      </c>
    </row>
    <row r="32" spans="2:3" x14ac:dyDescent="0.25">
      <c r="B32" t="s">
        <v>420</v>
      </c>
      <c r="C32" t="e">
        <f>VLOOKUP(B32,Hoja8!$A$3:$D$21,2,FALSE)</f>
        <v>#N/A</v>
      </c>
    </row>
    <row r="33" spans="2:3" x14ac:dyDescent="0.25">
      <c r="B33" t="s">
        <v>418</v>
      </c>
      <c r="C33">
        <f>VLOOKUP(B33,Hoja8!$A$3:$D$21,2,FALSE)</f>
        <v>11</v>
      </c>
    </row>
    <row r="34" spans="2:3" x14ac:dyDescent="0.25">
      <c r="B34" t="s">
        <v>416</v>
      </c>
      <c r="C34">
        <f>VLOOKUP(B34,Hoja8!$A$3:$D$21,2,FALSE)</f>
        <v>1</v>
      </c>
    </row>
    <row r="35" spans="2:3" x14ac:dyDescent="0.25">
      <c r="B35" t="s">
        <v>416</v>
      </c>
      <c r="C35">
        <f>VLOOKUP(B35,Hoja8!$A$3:$D$21,2,FALSE)</f>
        <v>1</v>
      </c>
    </row>
    <row r="36" spans="2:3" x14ac:dyDescent="0.25">
      <c r="B36" t="s">
        <v>418</v>
      </c>
      <c r="C36">
        <f>VLOOKUP(B36,Hoja8!$A$3:$D$21,2,FALSE)</f>
        <v>11</v>
      </c>
    </row>
    <row r="37" spans="2:3" x14ac:dyDescent="0.25">
      <c r="B37" t="s">
        <v>417</v>
      </c>
      <c r="C37">
        <f>VLOOKUP(B37,Hoja8!$A$3:$D$21,2,FALSE)</f>
        <v>15</v>
      </c>
    </row>
    <row r="38" spans="2:3" x14ac:dyDescent="0.25">
      <c r="B38" t="s">
        <v>421</v>
      </c>
      <c r="C38">
        <f>VLOOKUP(B38,Hoja8!$A$3:$D$21,2,FALSE)</f>
        <v>16</v>
      </c>
    </row>
    <row r="39" spans="2:3" x14ac:dyDescent="0.25">
      <c r="B39" t="s">
        <v>416</v>
      </c>
      <c r="C39">
        <f>VLOOKUP(B39,Hoja8!$A$3:$D$21,2,FALSE)</f>
        <v>1</v>
      </c>
    </row>
    <row r="40" spans="2:3" x14ac:dyDescent="0.25">
      <c r="B40" t="s">
        <v>416</v>
      </c>
      <c r="C40">
        <f>VLOOKUP(B40,Hoja8!$A$3:$D$21,2,FALSE)</f>
        <v>1</v>
      </c>
    </row>
    <row r="41" spans="2:3" x14ac:dyDescent="0.25">
      <c r="B41" t="s">
        <v>416</v>
      </c>
      <c r="C41">
        <f>VLOOKUP(B41,Hoja8!$A$3:$D$21,2,FALSE)</f>
        <v>1</v>
      </c>
    </row>
    <row r="42" spans="2:3" x14ac:dyDescent="0.25">
      <c r="B42" t="s">
        <v>418</v>
      </c>
      <c r="C42">
        <f>VLOOKUP(B42,Hoja8!$A$3:$D$21,2,FALSE)</f>
        <v>11</v>
      </c>
    </row>
    <row r="43" spans="2:3" x14ac:dyDescent="0.25">
      <c r="B43" t="s">
        <v>416</v>
      </c>
      <c r="C43">
        <f>VLOOKUP(B43,Hoja8!$A$3:$D$21,2,FALSE)</f>
        <v>1</v>
      </c>
    </row>
    <row r="44" spans="2:3" x14ac:dyDescent="0.25">
      <c r="B44" t="s">
        <v>416</v>
      </c>
      <c r="C44">
        <f>VLOOKUP(B44,Hoja8!$A$3:$D$21,2,FALSE)</f>
        <v>1</v>
      </c>
    </row>
    <row r="45" spans="2:3" x14ac:dyDescent="0.25">
      <c r="B45" t="s">
        <v>416</v>
      </c>
      <c r="C45">
        <f>VLOOKUP(B45,Hoja8!$A$3:$D$21,2,FALSE)</f>
        <v>1</v>
      </c>
    </row>
    <row r="46" spans="2:3" x14ac:dyDescent="0.25">
      <c r="B46" t="s">
        <v>416</v>
      </c>
      <c r="C46">
        <f>VLOOKUP(B46,Hoja8!$A$3:$D$21,2,FALSE)</f>
        <v>1</v>
      </c>
    </row>
    <row r="47" spans="2:3" x14ac:dyDescent="0.25">
      <c r="B47" t="s">
        <v>416</v>
      </c>
      <c r="C47">
        <f>VLOOKUP(B47,Hoja8!$A$3:$D$21,2,FALSE)</f>
        <v>1</v>
      </c>
    </row>
    <row r="48" spans="2:3" x14ac:dyDescent="0.25">
      <c r="B48" t="s">
        <v>416</v>
      </c>
      <c r="C48">
        <f>VLOOKUP(B48,Hoja8!$A$3:$D$21,2,FALSE)</f>
        <v>1</v>
      </c>
    </row>
    <row r="49" spans="2:3" x14ac:dyDescent="0.25">
      <c r="B49" t="s">
        <v>416</v>
      </c>
      <c r="C49">
        <f>VLOOKUP(B49,Hoja8!$A$3:$D$21,2,FALSE)</f>
        <v>1</v>
      </c>
    </row>
    <row r="50" spans="2:3" x14ac:dyDescent="0.25">
      <c r="B50" t="s">
        <v>419</v>
      </c>
      <c r="C50" t="e">
        <f>VLOOKUP(B50,Hoja8!$A$3:$D$21,2,FALSE)</f>
        <v>#N/A</v>
      </c>
    </row>
    <row r="51" spans="2:3" x14ac:dyDescent="0.25">
      <c r="B51" t="s">
        <v>416</v>
      </c>
      <c r="C51">
        <f>VLOOKUP(B51,Hoja8!$A$3:$D$21,2,FALSE)</f>
        <v>1</v>
      </c>
    </row>
    <row r="52" spans="2:3" x14ac:dyDescent="0.25">
      <c r="B52" t="s">
        <v>416</v>
      </c>
      <c r="C52">
        <f>VLOOKUP(B52,Hoja8!$A$3:$D$21,2,FALSE)</f>
        <v>1</v>
      </c>
    </row>
    <row r="53" spans="2:3" x14ac:dyDescent="0.25">
      <c r="B53" t="s">
        <v>419</v>
      </c>
      <c r="C53" t="e">
        <f>VLOOKUP(B53,Hoja8!$A$3:$D$21,2,FALSE)</f>
        <v>#N/A</v>
      </c>
    </row>
    <row r="54" spans="2:3" x14ac:dyDescent="0.25">
      <c r="B54" t="s">
        <v>419</v>
      </c>
      <c r="C54" t="e">
        <f>VLOOKUP(B54,Hoja8!$A$3:$D$21,2,FALSE)</f>
        <v>#N/A</v>
      </c>
    </row>
    <row r="55" spans="2:3" x14ac:dyDescent="0.25">
      <c r="B55" t="s">
        <v>440</v>
      </c>
      <c r="C55" t="e">
        <f>VLOOKUP(B55,Hoja8!$A$3:$D$21,2,FALSE)</f>
        <v>#N/A</v>
      </c>
    </row>
    <row r="56" spans="2:3" x14ac:dyDescent="0.25">
      <c r="B56" t="s">
        <v>416</v>
      </c>
      <c r="C56">
        <f>VLOOKUP(B56,Hoja8!$A$3:$D$21,2,FALSE)</f>
        <v>1</v>
      </c>
    </row>
    <row r="57" spans="2:3" x14ac:dyDescent="0.25">
      <c r="B57" t="s">
        <v>431</v>
      </c>
      <c r="C57" t="e">
        <f>VLOOKUP(B57,Hoja8!$A$3:$D$21,2,FALSE)</f>
        <v>#N/A</v>
      </c>
    </row>
    <row r="58" spans="2:3" x14ac:dyDescent="0.25">
      <c r="B58" t="s">
        <v>419</v>
      </c>
      <c r="C58" t="e">
        <f>VLOOKUP(B58,Hoja8!$A$3:$D$21,2,FALSE)</f>
        <v>#N/A</v>
      </c>
    </row>
    <row r="59" spans="2:3" x14ac:dyDescent="0.25">
      <c r="B59" t="s">
        <v>419</v>
      </c>
      <c r="C59" t="e">
        <f>VLOOKUP(B59,Hoja8!$A$3:$D$21,2,FALSE)</f>
        <v>#N/A</v>
      </c>
    </row>
    <row r="60" spans="2:3" x14ac:dyDescent="0.25">
      <c r="B60" t="s">
        <v>425</v>
      </c>
      <c r="C60" t="e">
        <f>VLOOKUP(B60,Hoja8!$A$3:$D$21,2,FALSE)</f>
        <v>#N/A</v>
      </c>
    </row>
    <row r="61" spans="2:3" x14ac:dyDescent="0.25">
      <c r="B61" t="s">
        <v>425</v>
      </c>
      <c r="C61" t="e">
        <f>VLOOKUP(B61,Hoja8!$A$3:$D$21,2,FALSE)</f>
        <v>#N/A</v>
      </c>
    </row>
    <row r="62" spans="2:3" x14ac:dyDescent="0.25">
      <c r="B62" t="s">
        <v>425</v>
      </c>
      <c r="C62" t="e">
        <f>VLOOKUP(B62,Hoja8!$A$3:$D$21,2,FALSE)</f>
        <v>#N/A</v>
      </c>
    </row>
    <row r="63" spans="2:3" x14ac:dyDescent="0.25">
      <c r="B63" t="s">
        <v>425</v>
      </c>
      <c r="C63" t="e">
        <f>VLOOKUP(B63,Hoja8!$A$3:$D$21,2,FALSE)</f>
        <v>#N/A</v>
      </c>
    </row>
    <row r="64" spans="2:3" x14ac:dyDescent="0.25">
      <c r="B64" t="s">
        <v>427</v>
      </c>
      <c r="C64" t="e">
        <f>VLOOKUP(B64,Hoja8!$A$3:$D$21,2,FALSE)</f>
        <v>#N/A</v>
      </c>
    </row>
    <row r="65" spans="2:3" x14ac:dyDescent="0.25">
      <c r="B65" t="s">
        <v>442</v>
      </c>
      <c r="C65">
        <f>VLOOKUP(B65,Hoja8!$A$3:$D$21,2,FALSE)</f>
        <v>6</v>
      </c>
    </row>
    <row r="66" spans="2:3" x14ac:dyDescent="0.25">
      <c r="B66" t="s">
        <v>428</v>
      </c>
      <c r="C66" t="e">
        <f>VLOOKUP(B66,Hoja8!$A$3:$D$21,2,FALSE)</f>
        <v>#N/A</v>
      </c>
    </row>
    <row r="67" spans="2:3" x14ac:dyDescent="0.25">
      <c r="B67" t="s">
        <v>425</v>
      </c>
      <c r="C67" t="e">
        <f>VLOOKUP(B67,Hoja8!$A$3:$D$21,2,FALSE)</f>
        <v>#N/A</v>
      </c>
    </row>
    <row r="68" spans="2:3" x14ac:dyDescent="0.25">
      <c r="B68" t="s">
        <v>444</v>
      </c>
      <c r="C68" t="e">
        <f>VLOOKUP(B68,Hoja8!$A$3:$D$21,2,FALSE)</f>
        <v>#N/A</v>
      </c>
    </row>
    <row r="69" spans="2:3" x14ac:dyDescent="0.25">
      <c r="B69" t="s">
        <v>416</v>
      </c>
      <c r="C69">
        <f>VLOOKUP(B69,Hoja8!$A$3:$D$21,2,FALSE)</f>
        <v>1</v>
      </c>
    </row>
    <row r="70" spans="2:3" x14ac:dyDescent="0.25">
      <c r="B70" t="s">
        <v>416</v>
      </c>
      <c r="C70">
        <f>VLOOKUP(B70,Hoja8!$A$3:$D$21,2,FALSE)</f>
        <v>1</v>
      </c>
    </row>
    <row r="71" spans="2:3" x14ac:dyDescent="0.25">
      <c r="B71" t="s">
        <v>418</v>
      </c>
      <c r="C71">
        <f>VLOOKUP(B71,Hoja8!$A$3:$D$21,2,FALSE)</f>
        <v>11</v>
      </c>
    </row>
    <row r="72" spans="2:3" x14ac:dyDescent="0.25">
      <c r="B72" t="s">
        <v>418</v>
      </c>
      <c r="C72">
        <f>VLOOKUP(B72,Hoja8!$A$3:$D$21,2,FALSE)</f>
        <v>11</v>
      </c>
    </row>
    <row r="73" spans="2:3" x14ac:dyDescent="0.25">
      <c r="B73" t="s">
        <v>417</v>
      </c>
      <c r="C73">
        <f>VLOOKUP(B73,Hoja8!$A$3:$D$21,2,FALSE)</f>
        <v>15</v>
      </c>
    </row>
    <row r="74" spans="2:3" x14ac:dyDescent="0.25">
      <c r="B74" t="s">
        <v>416</v>
      </c>
      <c r="C74">
        <f>VLOOKUP(B74,Hoja8!$A$3:$D$21,2,FALSE)</f>
        <v>1</v>
      </c>
    </row>
    <row r="75" spans="2:3" x14ac:dyDescent="0.25">
      <c r="B75" t="s">
        <v>431</v>
      </c>
      <c r="C75" t="e">
        <f>VLOOKUP(B75,Hoja8!$A$3:$D$21,2,FALSE)</f>
        <v>#N/A</v>
      </c>
    </row>
    <row r="76" spans="2:3" x14ac:dyDescent="0.25">
      <c r="B76" t="s">
        <v>416</v>
      </c>
      <c r="C76">
        <f>VLOOKUP(B76,Hoja8!$A$3:$D$21,2,FALSE)</f>
        <v>1</v>
      </c>
    </row>
    <row r="77" spans="2:3" x14ac:dyDescent="0.25">
      <c r="B77" t="s">
        <v>446</v>
      </c>
      <c r="C77" t="e">
        <f>VLOOKUP(B77,Hoja8!$A$3:$D$21,2,FALSE)</f>
        <v>#N/A</v>
      </c>
    </row>
    <row r="78" spans="2:3" x14ac:dyDescent="0.25">
      <c r="B78" t="s">
        <v>448</v>
      </c>
      <c r="C78" t="e">
        <f>VLOOKUP(B78,Hoja8!$A$3:$D$21,2,FALSE)</f>
        <v>#N/A</v>
      </c>
    </row>
    <row r="79" spans="2:3" x14ac:dyDescent="0.25">
      <c r="B79" t="s">
        <v>417</v>
      </c>
      <c r="C79">
        <f>VLOOKUP(B79,Hoja8!$A$3:$D$21,2,FALSE)</f>
        <v>15</v>
      </c>
    </row>
    <row r="80" spans="2:3" x14ac:dyDescent="0.25">
      <c r="B80" t="s">
        <v>417</v>
      </c>
      <c r="C80">
        <f>VLOOKUP(B80,Hoja8!$A$3:$D$21,2,FALSE)</f>
        <v>15</v>
      </c>
    </row>
    <row r="81" spans="2:3" x14ac:dyDescent="0.25">
      <c r="B81" t="s">
        <v>418</v>
      </c>
      <c r="C81">
        <f>VLOOKUP(B81,Hoja8!$A$3:$D$21,2,FALSE)</f>
        <v>11</v>
      </c>
    </row>
    <row r="82" spans="2:3" x14ac:dyDescent="0.25">
      <c r="B82" t="s">
        <v>419</v>
      </c>
      <c r="C82" t="e">
        <f>VLOOKUP(B82,Hoja8!$A$3:$D$21,2,FALSE)</f>
        <v>#N/A</v>
      </c>
    </row>
    <row r="83" spans="2:3" x14ac:dyDescent="0.25">
      <c r="B83" t="s">
        <v>446</v>
      </c>
      <c r="C83" t="e">
        <f>VLOOKUP(B83,Hoja8!$A$3:$D$21,2,FALSE)</f>
        <v>#N/A</v>
      </c>
    </row>
    <row r="84" spans="2:3" x14ac:dyDescent="0.25">
      <c r="B84" t="s">
        <v>446</v>
      </c>
      <c r="C84" t="e">
        <f>VLOOKUP(B84,Hoja8!$A$3:$D$21,2,FALSE)</f>
        <v>#N/A</v>
      </c>
    </row>
    <row r="85" spans="2:3" x14ac:dyDescent="0.25">
      <c r="B85" t="s">
        <v>419</v>
      </c>
      <c r="C85" t="e">
        <f>VLOOKUP(B85,Hoja8!$A$3:$D$21,2,FALSE)</f>
        <v>#N/A</v>
      </c>
    </row>
    <row r="86" spans="2:3" x14ac:dyDescent="0.25">
      <c r="B86" t="s">
        <v>449</v>
      </c>
      <c r="C86" t="e">
        <f>VLOOKUP(B86,Hoja8!$A$3:$D$21,2,FALSE)</f>
        <v>#N/A</v>
      </c>
    </row>
    <row r="87" spans="2:3" x14ac:dyDescent="0.25">
      <c r="B87" t="s">
        <v>416</v>
      </c>
      <c r="C87">
        <f>VLOOKUP(B87,Hoja8!$A$3:$D$21,2,FALSE)</f>
        <v>1</v>
      </c>
    </row>
    <row r="88" spans="2:3" x14ac:dyDescent="0.25">
      <c r="B88" t="s">
        <v>439</v>
      </c>
      <c r="C88" t="e">
        <f>VLOOKUP(B88,Hoja8!$A$3:$D$21,2,FALSE)</f>
        <v>#N/A</v>
      </c>
    </row>
    <row r="89" spans="2:3" x14ac:dyDescent="0.25">
      <c r="B89" t="s">
        <v>427</v>
      </c>
      <c r="C89" t="e">
        <f>VLOOKUP(B89,Hoja8!$A$3:$D$21,2,FALSE)</f>
        <v>#N/A</v>
      </c>
    </row>
    <row r="90" spans="2:3" x14ac:dyDescent="0.25">
      <c r="B90" t="s">
        <v>440</v>
      </c>
      <c r="C90" t="e">
        <f>VLOOKUP(B90,Hoja8!$A$3:$D$21,2,FALSE)</f>
        <v>#N/A</v>
      </c>
    </row>
    <row r="91" spans="2:3" x14ac:dyDescent="0.25">
      <c r="B91" t="s">
        <v>447</v>
      </c>
      <c r="C91" t="e">
        <f>VLOOKUP(B91,Hoja8!$A$3:$D$21,2,FALSE)</f>
        <v>#N/A</v>
      </c>
    </row>
    <row r="92" spans="2:3" x14ac:dyDescent="0.25">
      <c r="B92" t="s">
        <v>453</v>
      </c>
      <c r="C92" t="e">
        <f>VLOOKUP(B92,Hoja8!$A$3:$D$21,2,FALSE)</f>
        <v>#N/A</v>
      </c>
    </row>
    <row r="93" spans="2:3" x14ac:dyDescent="0.25">
      <c r="B93" t="s">
        <v>454</v>
      </c>
      <c r="C93" t="e">
        <f>VLOOKUP(B93,Hoja8!$A$3:$D$21,2,FALSE)</f>
        <v>#N/A</v>
      </c>
    </row>
    <row r="94" spans="2:3" x14ac:dyDescent="0.25">
      <c r="B94" t="s">
        <v>455</v>
      </c>
      <c r="C94" t="e">
        <f>VLOOKUP(B94,Hoja8!$A$3:$D$21,2,FALSE)</f>
        <v>#N/A</v>
      </c>
    </row>
    <row r="95" spans="2:3" x14ac:dyDescent="0.25">
      <c r="B95" t="s">
        <v>457</v>
      </c>
      <c r="C95" t="e">
        <f>VLOOKUP(B95,Hoja8!$A$3:$D$21,2,FALSE)</f>
        <v>#N/A</v>
      </c>
    </row>
    <row r="96" spans="2:3" x14ac:dyDescent="0.25">
      <c r="B96" t="s">
        <v>399</v>
      </c>
      <c r="C96">
        <f>VLOOKUP(B96,Hoja8!$A$3:$D$21,2,FALSE)</f>
        <v>6</v>
      </c>
    </row>
    <row r="97" spans="2:3" x14ac:dyDescent="0.25">
      <c r="B97" t="s">
        <v>417</v>
      </c>
      <c r="C97">
        <f>VLOOKUP(B97,Hoja8!$A$3:$D$21,2,FALSE)</f>
        <v>15</v>
      </c>
    </row>
    <row r="98" spans="2:3" x14ac:dyDescent="0.25">
      <c r="B98" t="s">
        <v>429</v>
      </c>
      <c r="C98" t="e">
        <f>VLOOKUP(B98,Hoja8!$A$3:$D$21,2,FALSE)</f>
        <v>#N/A</v>
      </c>
    </row>
    <row r="99" spans="2:3" x14ac:dyDescent="0.25">
      <c r="B99" t="s">
        <v>421</v>
      </c>
      <c r="C99">
        <f>VLOOKUP(B99,Hoja8!$A$3:$D$21,2,FALSE)</f>
        <v>16</v>
      </c>
    </row>
    <row r="100" spans="2:3" x14ac:dyDescent="0.25">
      <c r="B100" t="s">
        <v>416</v>
      </c>
      <c r="C100">
        <f>VLOOKUP(B100,Hoja8!$A$3:$D$21,2,FALSE)</f>
        <v>1</v>
      </c>
    </row>
    <row r="101" spans="2:3" x14ac:dyDescent="0.25">
      <c r="B101" t="s">
        <v>439</v>
      </c>
      <c r="C101" t="e">
        <f>VLOOKUP(B101,Hoja8!$A$3:$D$21,2,FALSE)</f>
        <v>#N/A</v>
      </c>
    </row>
    <row r="102" spans="2:3" x14ac:dyDescent="0.25">
      <c r="B102" t="s">
        <v>446</v>
      </c>
      <c r="C102" t="e">
        <f>VLOOKUP(B102,Hoja8!$A$3:$D$21,2,FALSE)</f>
        <v>#N/A</v>
      </c>
    </row>
    <row r="103" spans="2:3" x14ac:dyDescent="0.25">
      <c r="B103" t="s">
        <v>419</v>
      </c>
      <c r="C103" t="e">
        <f>VLOOKUP(B103,Hoja8!$A$3:$D$21,2,FALSE)</f>
        <v>#N/A</v>
      </c>
    </row>
    <row r="104" spans="2:3" x14ac:dyDescent="0.25">
      <c r="B104" t="s">
        <v>446</v>
      </c>
      <c r="C104" t="e">
        <f>VLOOKUP(B104,Hoja8!$A$3:$D$21,2,FALSE)</f>
        <v>#N/A</v>
      </c>
    </row>
    <row r="105" spans="2:3" x14ac:dyDescent="0.25">
      <c r="B105" t="s">
        <v>399</v>
      </c>
      <c r="C105">
        <f>VLOOKUP(B105,Hoja8!$A$3:$D$21,2,FALSE)</f>
        <v>6</v>
      </c>
    </row>
    <row r="106" spans="2:3" x14ac:dyDescent="0.25">
      <c r="B106" t="s">
        <v>431</v>
      </c>
      <c r="C106" t="e">
        <f>VLOOKUP(B106,Hoja8!$A$3:$D$21,2,FALSE)</f>
        <v>#N/A</v>
      </c>
    </row>
    <row r="107" spans="2:3" x14ac:dyDescent="0.25">
      <c r="B107" t="s">
        <v>418</v>
      </c>
      <c r="C107">
        <f>VLOOKUP(B107,Hoja8!$A$3:$D$21,2,FALSE)</f>
        <v>11</v>
      </c>
    </row>
    <row r="108" spans="2:3" x14ac:dyDescent="0.25">
      <c r="B108" t="s">
        <v>423</v>
      </c>
      <c r="C108">
        <f>VLOOKUP(B108,Hoja8!$A$3:$D$21,2,FALSE)</f>
        <v>12</v>
      </c>
    </row>
    <row r="109" spans="2:3" x14ac:dyDescent="0.25">
      <c r="B109" t="s">
        <v>423</v>
      </c>
      <c r="C109">
        <f>VLOOKUP(B109,Hoja8!$A$3:$D$21,2,FALSE)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113B-AFB0-47CD-9630-939445D5DBB8}">
  <dimension ref="A2:D21"/>
  <sheetViews>
    <sheetView workbookViewId="0">
      <selection activeCell="A11" sqref="A11"/>
    </sheetView>
  </sheetViews>
  <sheetFormatPr baseColWidth="10" defaultRowHeight="15" x14ac:dyDescent="0.25"/>
  <sheetData>
    <row r="2" spans="1:4" x14ac:dyDescent="0.25">
      <c r="B2" t="s">
        <v>0</v>
      </c>
      <c r="C2" t="s">
        <v>393</v>
      </c>
      <c r="D2" t="s">
        <v>6</v>
      </c>
    </row>
    <row r="3" spans="1:4" x14ac:dyDescent="0.25">
      <c r="A3" t="s">
        <v>394</v>
      </c>
      <c r="B3">
        <v>1</v>
      </c>
      <c r="C3">
        <v>1</v>
      </c>
      <c r="D3" t="s">
        <v>394</v>
      </c>
    </row>
    <row r="4" spans="1:4" x14ac:dyDescent="0.25">
      <c r="A4" t="s">
        <v>395</v>
      </c>
      <c r="B4">
        <v>2</v>
      </c>
      <c r="C4">
        <v>1</v>
      </c>
      <c r="D4" t="s">
        <v>395</v>
      </c>
    </row>
    <row r="5" spans="1:4" x14ac:dyDescent="0.25">
      <c r="A5" t="s">
        <v>396</v>
      </c>
      <c r="B5">
        <v>3</v>
      </c>
      <c r="C5">
        <v>1</v>
      </c>
      <c r="D5" t="s">
        <v>396</v>
      </c>
    </row>
    <row r="6" spans="1:4" x14ac:dyDescent="0.25">
      <c r="A6" t="s">
        <v>397</v>
      </c>
      <c r="B6">
        <v>4</v>
      </c>
      <c r="C6">
        <v>2</v>
      </c>
      <c r="D6" t="s">
        <v>397</v>
      </c>
    </row>
    <row r="7" spans="1:4" x14ac:dyDescent="0.25">
      <c r="A7" t="s">
        <v>398</v>
      </c>
      <c r="B7">
        <v>5</v>
      </c>
      <c r="C7">
        <v>3</v>
      </c>
      <c r="D7" t="s">
        <v>398</v>
      </c>
    </row>
    <row r="8" spans="1:4" x14ac:dyDescent="0.25">
      <c r="A8" t="s">
        <v>399</v>
      </c>
      <c r="B8">
        <v>6</v>
      </c>
      <c r="C8">
        <v>1</v>
      </c>
      <c r="D8" t="s">
        <v>399</v>
      </c>
    </row>
    <row r="9" spans="1:4" x14ac:dyDescent="0.25">
      <c r="A9" t="s">
        <v>400</v>
      </c>
      <c r="B9">
        <v>7</v>
      </c>
      <c r="C9">
        <v>1</v>
      </c>
      <c r="D9" t="s">
        <v>400</v>
      </c>
    </row>
    <row r="10" spans="1:4" x14ac:dyDescent="0.25">
      <c r="A10" t="s">
        <v>401</v>
      </c>
      <c r="B10">
        <v>8</v>
      </c>
      <c r="C10">
        <v>1</v>
      </c>
      <c r="D10" t="s">
        <v>401</v>
      </c>
    </row>
    <row r="11" spans="1:4" x14ac:dyDescent="0.25">
      <c r="A11" t="s">
        <v>402</v>
      </c>
      <c r="B11">
        <v>9</v>
      </c>
      <c r="C11">
        <v>1</v>
      </c>
      <c r="D11" t="s">
        <v>402</v>
      </c>
    </row>
    <row r="12" spans="1:4" x14ac:dyDescent="0.25">
      <c r="A12" t="s">
        <v>403</v>
      </c>
      <c r="B12">
        <v>10</v>
      </c>
      <c r="C12">
        <v>1</v>
      </c>
      <c r="D12" t="s">
        <v>403</v>
      </c>
    </row>
    <row r="13" spans="1:4" x14ac:dyDescent="0.25">
      <c r="A13" t="s">
        <v>404</v>
      </c>
      <c r="B13">
        <v>11</v>
      </c>
      <c r="C13">
        <v>1</v>
      </c>
      <c r="D13" t="s">
        <v>404</v>
      </c>
    </row>
    <row r="14" spans="1:4" x14ac:dyDescent="0.25">
      <c r="A14" t="s">
        <v>405</v>
      </c>
      <c r="B14">
        <v>12</v>
      </c>
      <c r="C14">
        <v>1</v>
      </c>
      <c r="D14" t="s">
        <v>405</v>
      </c>
    </row>
    <row r="15" spans="1:4" x14ac:dyDescent="0.25">
      <c r="A15" t="s">
        <v>406</v>
      </c>
      <c r="B15">
        <v>13</v>
      </c>
      <c r="C15">
        <v>1</v>
      </c>
      <c r="D15" t="s">
        <v>406</v>
      </c>
    </row>
    <row r="16" spans="1:4" x14ac:dyDescent="0.25">
      <c r="A16" t="s">
        <v>407</v>
      </c>
      <c r="B16">
        <v>14</v>
      </c>
      <c r="C16">
        <v>1</v>
      </c>
      <c r="D16" t="s">
        <v>407</v>
      </c>
    </row>
    <row r="17" spans="1:4" x14ac:dyDescent="0.25">
      <c r="A17" t="s">
        <v>408</v>
      </c>
      <c r="B17">
        <v>15</v>
      </c>
      <c r="C17">
        <v>1</v>
      </c>
      <c r="D17" t="s">
        <v>408</v>
      </c>
    </row>
    <row r="18" spans="1:4" x14ac:dyDescent="0.25">
      <c r="A18" t="s">
        <v>409</v>
      </c>
      <c r="B18">
        <v>16</v>
      </c>
      <c r="C18">
        <v>1</v>
      </c>
      <c r="D18" t="s">
        <v>409</v>
      </c>
    </row>
    <row r="19" spans="1:4" x14ac:dyDescent="0.25">
      <c r="A19" t="s">
        <v>410</v>
      </c>
      <c r="B19">
        <v>17</v>
      </c>
      <c r="C19">
        <v>1</v>
      </c>
      <c r="D19" t="s">
        <v>410</v>
      </c>
    </row>
    <row r="20" spans="1:4" x14ac:dyDescent="0.25">
      <c r="A20" t="s">
        <v>458</v>
      </c>
      <c r="B20">
        <v>18</v>
      </c>
      <c r="C20">
        <v>1</v>
      </c>
      <c r="D20" t="s">
        <v>411</v>
      </c>
    </row>
    <row r="21" spans="1:4" x14ac:dyDescent="0.25">
      <c r="A21" t="s">
        <v>412</v>
      </c>
      <c r="B21">
        <v>19</v>
      </c>
      <c r="C21">
        <v>1</v>
      </c>
      <c r="D21" t="s">
        <v>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65FD-6FE3-492D-86B1-47767841EDD8}">
  <dimension ref="B2:L112"/>
  <sheetViews>
    <sheetView zoomScale="175" zoomScaleNormal="175" workbookViewId="0">
      <selection activeCell="E3" sqref="E3:E112"/>
    </sheetView>
  </sheetViews>
  <sheetFormatPr baseColWidth="10" defaultRowHeight="15" x14ac:dyDescent="0.25"/>
  <cols>
    <col min="3" max="3" width="137.42578125" customWidth="1"/>
  </cols>
  <sheetData>
    <row r="2" spans="2:5" x14ac:dyDescent="0.25">
      <c r="C2" s="1" t="s">
        <v>6</v>
      </c>
      <c r="D2" t="s">
        <v>327</v>
      </c>
    </row>
    <row r="3" spans="2:5" x14ac:dyDescent="0.25">
      <c r="B3" t="s">
        <v>355</v>
      </c>
      <c r="C3" t="s">
        <v>53</v>
      </c>
      <c r="D3" t="str">
        <f>VLOOKUP(C3,Hoja3!$B$3:$C$373,2,FALSE)</f>
        <v>IPC en GSD 8" Ø X 8.2 km de PP-Akal-B-1</v>
      </c>
      <c r="E3" t="str">
        <f>VLOOKUP(C3,Hoja3!$B$3:$D$373,3,FALSE)</f>
        <v>Cantarel</v>
      </c>
    </row>
    <row r="4" spans="2:5" x14ac:dyDescent="0.25">
      <c r="B4" t="s">
        <v>355</v>
      </c>
      <c r="C4" t="s">
        <v>54</v>
      </c>
      <c r="D4" t="str">
        <f>VLOOKUP(C4,Hoja3!$B$3:$C$373,2,FALSE)</f>
        <v>GSD de BN 16”Ø x 20 Km Yaxché-A hacia Tlacame-A</v>
      </c>
      <c r="E4" t="str">
        <f>VLOOKUP(C4,Hoja3!$B$3:$D$373,3,FALSE)</f>
        <v>Yaxché</v>
      </c>
    </row>
    <row r="5" spans="2:5" x14ac:dyDescent="0.25">
      <c r="B5" t="s">
        <v>355</v>
      </c>
      <c r="C5" t="s">
        <v>55</v>
      </c>
      <c r="D5" t="str">
        <f>VLOOKUP(C5,Hoja3!$B$3:$C$373,2,FALSE)</f>
        <v>OGD de 20”Ø x 8.8 Km Mulach-A hacia Interc. Subm. con OGD Tlacame-A / Xanab-C</v>
      </c>
      <c r="E5" t="str">
        <f>VLOOKUP(C5,Hoja3!$B$3:$D$373,3,FALSE)</f>
        <v>Tlacame</v>
      </c>
    </row>
    <row r="6" spans="2:5" x14ac:dyDescent="0.25">
      <c r="B6" t="s">
        <v>355</v>
      </c>
      <c r="C6" t="s">
        <v>56</v>
      </c>
      <c r="D6" t="str">
        <f>VLOOKUP(C6,Hoja3!$B$3:$C$373,2,FALSE)</f>
        <v>GSD de BN 16”Ø x 0.5 Km Interc. Subm. con OGD de 16” Tlacame-A hacia Mulach-A</v>
      </c>
      <c r="E6" t="str">
        <f>VLOOKUP(C6,Hoja3!$B$3:$D$373,3,FALSE)</f>
        <v>Tlacame</v>
      </c>
    </row>
    <row r="7" spans="2:5" x14ac:dyDescent="0.25">
      <c r="B7" t="s">
        <v>355</v>
      </c>
      <c r="C7" t="s">
        <v>57</v>
      </c>
      <c r="D7" t="str">
        <f>VLOOKUP(C7,Hoja3!$B$3:$C$373,2,FALSE)</f>
        <v>OGD de 16”Ø x 6.8 Km de la plataforma Xanab-201 hacia la plataforma Xanab-D</v>
      </c>
      <c r="E7" t="str">
        <f>VLOOKUP(C7,Hoja3!$B$3:$D$373,3,FALSE)</f>
        <v>Tlacame</v>
      </c>
    </row>
    <row r="8" spans="2:5" x14ac:dyDescent="0.25">
      <c r="B8" t="s">
        <v>355</v>
      </c>
      <c r="C8" t="s">
        <v>58</v>
      </c>
      <c r="D8" t="str">
        <f>VLOOKUP(C8,Hoja3!$B$3:$C$373,2,FALSE)</f>
        <v>Plataforma Recuperadora de Pozos tipo Típode Xanab-201</v>
      </c>
      <c r="E8" t="str">
        <f>VLOOKUP(C8,Hoja3!$B$3:$D$373,3,FALSE)</f>
        <v>Xanab</v>
      </c>
    </row>
    <row r="9" spans="2:5" x14ac:dyDescent="0.25">
      <c r="B9" t="s">
        <v>355</v>
      </c>
      <c r="C9" t="s">
        <v>59</v>
      </c>
      <c r="D9" t="str">
        <f>VLOOKUP(C9,Hoja3!$B$3:$C$373,2,FALSE)</f>
        <v>Plataforma de Inyección de Agua de Mar Yaxche-AI</v>
      </c>
      <c r="E9" t="str">
        <f>VLOOKUP(C9,Hoja3!$B$3:$D$373,3,FALSE)</f>
        <v>Yaxché</v>
      </c>
    </row>
    <row r="10" spans="2:5" x14ac:dyDescent="0.25">
      <c r="B10" t="s">
        <v>355</v>
      </c>
      <c r="C10" t="s">
        <v>60</v>
      </c>
      <c r="D10" t="str">
        <f>VLOOKUP(C10,Hoja3!$B$3:$C$373,2,FALSE)</f>
        <v>EMDR-1-POKCHE-NE</v>
      </c>
      <c r="E10" t="str">
        <f>VLOOKUP(C10,Hoja3!$B$3:$D$373,3,FALSE)</f>
        <v>Pokche</v>
      </c>
    </row>
    <row r="11" spans="2:5" x14ac:dyDescent="0.25">
      <c r="B11" t="s">
        <v>355</v>
      </c>
      <c r="C11" t="s">
        <v>61</v>
      </c>
      <c r="D11" t="str">
        <f>VLOOKUP(C11,Hoja3!$B$3:$C$373,2,FALSE)</f>
        <v>EMDR-2 TENTOK</v>
      </c>
      <c r="E11" t="str">
        <f>VLOOKUP(C11,Hoja3!$B$3:$D$373,3,FALSE)</f>
        <v>Tentok</v>
      </c>
    </row>
    <row r="12" spans="2:5" x14ac:dyDescent="0.25">
      <c r="B12" t="s">
        <v>355</v>
      </c>
      <c r="C12" t="s">
        <v>62</v>
      </c>
      <c r="D12" t="str">
        <f>VLOOKUP(C12,Hoja3!$B$3:$C$373,2,FALSE)</f>
        <v>EMTR-1 ( EX TENTOK)</v>
      </c>
      <c r="E12" t="str">
        <f>VLOOKUP(C12,Hoja3!$B$3:$D$373,3,FALSE)</f>
        <v>MACUIL</v>
      </c>
    </row>
    <row r="13" spans="2:5" x14ac:dyDescent="0.25">
      <c r="B13" t="s">
        <v>355</v>
      </c>
      <c r="C13" t="s">
        <v>63</v>
      </c>
      <c r="D13" t="str">
        <f>VLOOKUP(C13,Hoja3!$B$3:$C$373,2,FALSE)</f>
        <v>EMTR-2 MACUIL</v>
      </c>
      <c r="E13" t="str">
        <f>VLOOKUP(C13,Hoja3!$B$3:$D$373,3,FALSE)</f>
        <v>MACUIL</v>
      </c>
    </row>
    <row r="14" spans="2:5" x14ac:dyDescent="0.25">
      <c r="B14" t="s">
        <v>355</v>
      </c>
      <c r="C14" t="s">
        <v>64</v>
      </c>
      <c r="D14" t="str">
        <f>VLOOKUP(C14,Hoja3!$B$3:$C$373,2,FALSE)</f>
        <v>EMTR-3 ATOYATL</v>
      </c>
      <c r="E14" t="str">
        <f>VLOOKUP(C14,Hoja3!$B$3:$D$373,3,FALSE)</f>
        <v>ATOYATL</v>
      </c>
    </row>
    <row r="15" spans="2:5" x14ac:dyDescent="0.25">
      <c r="B15" t="s">
        <v>355</v>
      </c>
      <c r="C15" t="s">
        <v>65</v>
      </c>
      <c r="D15" t="str">
        <f>VLOOKUP(C15,Hoja3!$B$3:$C$373,2,FALSE)</f>
        <v>EMTR-4 OGHACHI</v>
      </c>
      <c r="E15" t="str">
        <f>VLOOKUP(C15,Hoja3!$B$3:$D$373,3,FALSE)</f>
        <v>OGHACHI</v>
      </c>
    </row>
    <row r="16" spans="2:5" x14ac:dyDescent="0.25">
      <c r="B16" t="s">
        <v>331</v>
      </c>
      <c r="C16" t="s">
        <v>181</v>
      </c>
      <c r="D16" t="str">
        <f>VLOOKUP(C16,Hoja3!$B$3:$C$373,2,FALSE)</f>
        <v>GSD 24”Ø x 14.1 km de BS Ixachi a EMC Papán</v>
      </c>
      <c r="E16" t="str">
        <f>VLOOKUP(C16,Hoja3!$B$3:$D$373,3,FALSE)</f>
        <v>Ixachi</v>
      </c>
    </row>
    <row r="17" spans="2:5" x14ac:dyDescent="0.25">
      <c r="B17" t="s">
        <v>355</v>
      </c>
      <c r="C17" t="s">
        <v>67</v>
      </c>
      <c r="D17" t="str">
        <f>VLOOKUP(C17,Hoja3!$B$3:$C$373,2,FALSE)</f>
        <v xml:space="preserve">IPC Tecominoacán (Segunda Etapa) </v>
      </c>
      <c r="E17" t="str">
        <f>VLOOKUP(C17,Hoja3!$B$3:$D$373,3,FALSE)</f>
        <v>Jujo</v>
      </c>
    </row>
    <row r="18" spans="2:5" x14ac:dyDescent="0.25">
      <c r="B18" t="s">
        <v>328</v>
      </c>
      <c r="C18" t="s">
        <v>182</v>
      </c>
      <c r="D18" t="str">
        <f>VLOOKUP(C18,Hoja3!$B$3:$C$373,2,FALSE)</f>
        <v>OGD 20” Ø x 16 km TUM-1 a CPG Matapionche.</v>
      </c>
      <c r="E18" t="str">
        <f>VLOOKUP(C18,Hoja3!$B$3:$D$373,3,FALSE)</f>
        <v>Ixachi</v>
      </c>
    </row>
    <row r="19" spans="2:5" x14ac:dyDescent="0.25">
      <c r="B19" t="s">
        <v>329</v>
      </c>
      <c r="C19" t="s">
        <v>183</v>
      </c>
      <c r="D19" t="str">
        <f>VLOOKUP(C19,Hoja3!$B$3:$C$373,2,FALSE)</f>
        <v>GSD 16"Ø x 13.2 km de Tupilco I - Los Sapos.</v>
      </c>
      <c r="E19" t="str">
        <f>VLOOKUP(C19,Hoja3!$B$3:$D$373,3,FALSE)</f>
        <v>Tupilco</v>
      </c>
    </row>
    <row r="20" spans="2:5" x14ac:dyDescent="0.25">
      <c r="B20" t="s">
        <v>355</v>
      </c>
      <c r="C20" t="s">
        <v>70</v>
      </c>
      <c r="D20" t="str">
        <f>VLOOKUP(C20,Hoja3!$B$3:$C$373,2,FALSE)</f>
        <v>Sistema de Endulzamiento y Compresion de Gas en TMDB</v>
      </c>
      <c r="E20" t="str">
        <f>VLOOKUP(C20,Hoja3!$B$3:$D$373,3,FALSE)</f>
        <v>N/A</v>
      </c>
    </row>
    <row r="21" spans="2:5" x14ac:dyDescent="0.25">
      <c r="B21" t="s">
        <v>355</v>
      </c>
      <c r="C21" t="s">
        <v>71</v>
      </c>
      <c r="D21" t="str">
        <f>VLOOKUP(C21,Hoja3!$B$3:$C$373,2,FALSE)</f>
        <v>BS Rabasa, Segunda Etapa</v>
      </c>
      <c r="E21" t="str">
        <f>VLOOKUP(C21,Hoja3!$B$3:$D$373,3,FALSE)</f>
        <v>Rabasa</v>
      </c>
    </row>
    <row r="22" spans="2:5" x14ac:dyDescent="0.25">
      <c r="B22" t="s">
        <v>355</v>
      </c>
      <c r="C22" t="s">
        <v>72</v>
      </c>
      <c r="D22" t="str">
        <f>VLOOKUP(C22,Hoja3!$B$3:$C$373,2,FALSE)</f>
        <v>Servicio Integral de Acondicionamiento de Gas Húmedo Amargo del Campo Ixachi EMC Papan</v>
      </c>
      <c r="E22" t="str">
        <f>VLOOKUP(C22,Hoja3!$B$3:$D$373,3,FALSE)</f>
        <v>Ixachi</v>
      </c>
    </row>
    <row r="23" spans="2:5" x14ac:dyDescent="0.25">
      <c r="B23" t="s">
        <v>355</v>
      </c>
      <c r="C23" t="s">
        <v>73</v>
      </c>
      <c r="D23" t="str">
        <f>VLOOKUP(C23,Hoja3!$B$3:$C$373,2,FALSE)</f>
        <v>OEM en las Plataformas Marinas Teca-A para inyección de agua de mar a pozos.</v>
      </c>
      <c r="E23" t="str">
        <f>VLOOKUP(C23,Hoja3!$B$3:$D$373,3,FALSE)</f>
        <v>Teca</v>
      </c>
    </row>
    <row r="24" spans="2:5" x14ac:dyDescent="0.25">
      <c r="B24" t="s">
        <v>355</v>
      </c>
      <c r="C24" t="s">
        <v>74</v>
      </c>
      <c r="D24" t="str">
        <f>VLOOKUP(C24,Hoja3!$B$3:$C$373,2,FALSE)</f>
        <v>OEM en las Plataformas Marinas Tlacame-A para inyección de agua de mar a pozos.</v>
      </c>
      <c r="E24" t="str">
        <f>VLOOKUP(C24,Hoja3!$B$3:$D$373,3,FALSE)</f>
        <v>Tlacame</v>
      </c>
    </row>
    <row r="25" spans="2:5" x14ac:dyDescent="0.25">
      <c r="B25" t="s">
        <v>355</v>
      </c>
      <c r="C25" t="s">
        <v>78</v>
      </c>
      <c r="D25" t="str">
        <f>VLOOKUP(C25,Hoja3!$B$3:$C$373,2,FALSE)</f>
        <v>OEM en las Plataformas Marinas Itta-A para inyección de agua de mar a pozos.</v>
      </c>
      <c r="E25" t="str">
        <f>VLOOKUP(C25,Hoja3!$B$3:$D$373,3,FALSE)</f>
        <v>Itta</v>
      </c>
    </row>
    <row r="26" spans="2:5" x14ac:dyDescent="0.25">
      <c r="B26" t="s">
        <v>355</v>
      </c>
      <c r="C26" t="s">
        <v>79</v>
      </c>
      <c r="D26" t="str">
        <f>VLOOKUP(C26,Hoja3!$B$3:$C$373,2,FALSE)</f>
        <v>OEM en las Plataformas Marinas Teekit-A para inyección de agua de mar a pozos.</v>
      </c>
      <c r="E26" t="str">
        <f>VLOOKUP(C26,Hoja3!$B$3:$D$373,3,FALSE)</f>
        <v>Teekit</v>
      </c>
    </row>
    <row r="27" spans="2:5" x14ac:dyDescent="0.25">
      <c r="B27" t="s">
        <v>355</v>
      </c>
      <c r="C27" t="s">
        <v>80</v>
      </c>
      <c r="D27" t="str">
        <f>VLOOKUP(C27,Hoja3!$B$3:$C$373,2,FALSE)</f>
        <v>OEM en las Plataformas Marinas Cahua-A para inyección de agua de mar a pozos.</v>
      </c>
      <c r="E27" t="str">
        <f>VLOOKUP(C27,Hoja3!$B$3:$D$373,3,FALSE)</f>
        <v>Chahua</v>
      </c>
    </row>
    <row r="28" spans="2:5" x14ac:dyDescent="0.25">
      <c r="B28" t="s">
        <v>330</v>
      </c>
      <c r="C28" t="s">
        <v>184</v>
      </c>
      <c r="D28" t="str">
        <f>VLOOKUP(C28,Hoja3!$B$3:$C$373,2,FALSE)</f>
        <v>OGD 24” x 5.5 km de MP Ixachi 1DEL a B.S. Perdiz.</v>
      </c>
      <c r="E28" t="str">
        <f>VLOOKUP(C28,Hoja3!$B$3:$D$373,3,FALSE)</f>
        <v>Ixachi</v>
      </c>
    </row>
    <row r="29" spans="2:5" x14ac:dyDescent="0.25">
      <c r="B29" t="s">
        <v>331</v>
      </c>
      <c r="C29" t="s">
        <v>191</v>
      </c>
      <c r="D29" t="str">
        <f>VLOOKUP(C29,Hoja3!$B$3:$C$373,2,FALSE)</f>
        <v>Paquete de Medicion IXACHI Pozo Mocarroca 1</v>
      </c>
      <c r="E29" t="str">
        <f>VLOOKUP(C29,Hoja3!$B$3:$D$373,3,FALSE)</f>
        <v>Ixachi</v>
      </c>
    </row>
    <row r="30" spans="2:5" x14ac:dyDescent="0.25">
      <c r="B30" t="s">
        <v>355</v>
      </c>
      <c r="C30" t="s">
        <v>83</v>
      </c>
      <c r="D30" t="str">
        <f>VLOOKUP(C30,Hoja3!$B$3:$C$373,2,FALSE)</f>
        <v>Cables Eléctricos Submarinos. Circuito Ayatsil-C  hacia UTSIL-A</v>
      </c>
      <c r="E30" t="str">
        <f>VLOOKUP(C30,Hoja3!$B$3:$D$373,3,FALSE)</f>
        <v>Utsil</v>
      </c>
    </row>
    <row r="31" spans="2:5" x14ac:dyDescent="0.25">
      <c r="B31" t="s">
        <v>355</v>
      </c>
      <c r="C31" t="s">
        <v>84</v>
      </c>
      <c r="D31" t="str">
        <f>VLOOKUP(C31,Hoja3!$B$3:$C$373,2,FALSE)</f>
        <v>Cables Eléctricos Submarinos. Circuito CB-LIT-A hacia YAXCHE-AI</v>
      </c>
      <c r="E31" t="str">
        <f>VLOOKUP(C31,Hoja3!$B$3:$D$373,3,FALSE)</f>
        <v>Yaxché</v>
      </c>
    </row>
    <row r="32" spans="2:5" x14ac:dyDescent="0.25">
      <c r="B32" t="s">
        <v>355</v>
      </c>
      <c r="C32" t="s">
        <v>85</v>
      </c>
      <c r="D32" t="str">
        <f>VLOOKUP(C32,Hoja3!$B$3:$C$373,2,FALSE)</f>
        <v>Construcción de un Tanque de almacenamiento y obras comp. en la BS Perdiz.</v>
      </c>
      <c r="E32" t="str">
        <f>VLOOKUP(C32,Hoja3!$B$3:$D$373,3,FALSE)</f>
        <v>Perdiz</v>
      </c>
    </row>
    <row r="33" spans="2:12" x14ac:dyDescent="0.25">
      <c r="B33" t="s">
        <v>355</v>
      </c>
      <c r="C33" t="s">
        <v>86</v>
      </c>
      <c r="D33" t="str">
        <f>VLOOKUP(C33,Hoja3!$B$3:$C$373,2,FALSE)</f>
        <v>IPC y Puesta en Operación de OEM en la BS Jujo (Segunda Etapa)</v>
      </c>
      <c r="E33" t="str">
        <f>VLOOKUP(C33,Hoja3!$B$3:$D$373,3,FALSE)</f>
        <v>Jujo</v>
      </c>
    </row>
    <row r="34" spans="2:12" x14ac:dyDescent="0.25">
      <c r="B34" t="s">
        <v>332</v>
      </c>
      <c r="C34" t="s">
        <v>185</v>
      </c>
      <c r="D34" t="str">
        <f>VLOOKUP(C34,Hoja3!$B$3:$C$373,2,FALSE)</f>
        <v>OGD 30"Ø x 5.2 km MP Quesqui-41 a B.S. Jujo</v>
      </c>
      <c r="E34" t="str">
        <f>VLOOKUP(C34,Hoja3!$B$3:$D$373,3,FALSE)</f>
        <v>Quesqui</v>
      </c>
    </row>
    <row r="35" spans="2:12" x14ac:dyDescent="0.25">
      <c r="B35" t="s">
        <v>328</v>
      </c>
      <c r="C35" t="s">
        <v>192</v>
      </c>
      <c r="D35" t="str">
        <f>VLOOKUP(C35,Hoja3!$B$3:$C$373,2,FALSE)</f>
        <v>Paquete de Medicion IXACHI Pozo Ixachi 30</v>
      </c>
      <c r="E35" t="str">
        <f>VLOOKUP(C35,Hoja3!$B$3:$D$373,3,FALSE)</f>
        <v>Ixachi</v>
      </c>
    </row>
    <row r="36" spans="2:12" x14ac:dyDescent="0.25">
      <c r="B36" t="s">
        <v>329</v>
      </c>
      <c r="C36" t="s">
        <v>193</v>
      </c>
      <c r="D36" t="str">
        <f>VLOOKUP(C36,Hoja3!$B$3:$C$373,2,FALSE)</f>
        <v>Paquete de Medicion IXACHI Batería Perdiz/Ixachi</v>
      </c>
      <c r="E36" t="str">
        <f>VLOOKUP(C36,Hoja3!$B$3:$D$373,3,FALSE)</f>
        <v>Ixachi</v>
      </c>
    </row>
    <row r="37" spans="2:12" x14ac:dyDescent="0.25">
      <c r="B37" t="s">
        <v>330</v>
      </c>
      <c r="C37" t="s">
        <v>194</v>
      </c>
      <c r="D37" t="str">
        <f>VLOOKUP(C37,Hoja3!$B$3:$C$373,2,FALSE)</f>
        <v>Paquete de Medicion Quesqui, BS Tecominoacán</v>
      </c>
      <c r="E37" t="str">
        <f>VLOOKUP(C37,Hoja3!$B$3:$D$373,3,FALSE)</f>
        <v>Quesqui</v>
      </c>
      <c r="L37" t="str">
        <f>LEFT(C37,6)</f>
        <v>Paquet</v>
      </c>
    </row>
    <row r="38" spans="2:12" x14ac:dyDescent="0.25">
      <c r="B38" t="s">
        <v>332</v>
      </c>
      <c r="C38" t="s">
        <v>195</v>
      </c>
      <c r="D38" t="str">
        <f>VLOOKUP(C38,Hoja3!$B$3:$C$373,2,FALSE)</f>
        <v>Paquete de Medicion Tupilco, BS Tupilco</v>
      </c>
      <c r="E38" t="str">
        <f>VLOOKUP(C38,Hoja3!$B$3:$D$373,3,FALSE)</f>
        <v>Tupilco</v>
      </c>
      <c r="L38" t="str">
        <f t="shared" ref="L38:L101" si="0">LEFT(C38,6)</f>
        <v>Paquet</v>
      </c>
    </row>
    <row r="39" spans="2:12" x14ac:dyDescent="0.25">
      <c r="B39" t="s">
        <v>356</v>
      </c>
      <c r="C39" t="s">
        <v>196</v>
      </c>
      <c r="D39" t="str">
        <f>VLOOKUP(C39,Hoja3!$B$3:$C$373,2,FALSE)</f>
        <v>Paquete de Medicion Valeriana, Pozo Valeriana 1</v>
      </c>
      <c r="E39" t="str">
        <f>VLOOKUP(C39,Hoja3!$B$3:$D$373,3,FALSE)</f>
        <v>Valeriana</v>
      </c>
      <c r="L39" t="str">
        <f t="shared" si="0"/>
        <v>Paquet</v>
      </c>
    </row>
    <row r="40" spans="2:12" x14ac:dyDescent="0.25">
      <c r="B40" t="s">
        <v>357</v>
      </c>
      <c r="C40" t="s">
        <v>197</v>
      </c>
      <c r="D40" t="str">
        <f>VLOOKUP(C40,Hoja3!$B$3:$C$373,2,FALSE)</f>
        <v>Paquete de Medicion Ixachi, Pozo Perdiz 579</v>
      </c>
      <c r="E40" t="str">
        <f>VLOOKUP(C40,Hoja3!$B$3:$D$373,3,FALSE)</f>
        <v>Ixachi</v>
      </c>
      <c r="L40" t="str">
        <f t="shared" si="0"/>
        <v>Paquet</v>
      </c>
    </row>
    <row r="41" spans="2:12" x14ac:dyDescent="0.25">
      <c r="B41" t="s">
        <v>358</v>
      </c>
      <c r="C41" t="s">
        <v>198</v>
      </c>
      <c r="D41" t="str">
        <f>VLOOKUP(C41,Hoja3!$B$3:$C$373,2,FALSE)</f>
        <v>Paquete de Medicion Ixachi, Pozo Ixachi 1DEL</v>
      </c>
      <c r="E41" t="str">
        <f>VLOOKUP(C41,Hoja3!$B$3:$D$373,3,FALSE)</f>
        <v>Ixachi</v>
      </c>
      <c r="L41" t="str">
        <f t="shared" si="0"/>
        <v>Paquet</v>
      </c>
    </row>
    <row r="42" spans="2:12" x14ac:dyDescent="0.25">
      <c r="B42" t="s">
        <v>359</v>
      </c>
      <c r="C42" t="s">
        <v>199</v>
      </c>
      <c r="D42" t="str">
        <f>VLOOKUP(C42,Hoja3!$B$3:$C$373,2,FALSE)</f>
        <v>Paquete de Medicion Ixachi, Pozo Ixachi 34</v>
      </c>
      <c r="E42" t="str">
        <f>VLOOKUP(C42,Hoja3!$B$3:$D$373,3,FALSE)</f>
        <v>Ixachi</v>
      </c>
      <c r="L42" t="str">
        <f t="shared" si="0"/>
        <v>Paquet</v>
      </c>
    </row>
    <row r="43" spans="2:12" x14ac:dyDescent="0.25">
      <c r="B43" t="s">
        <v>360</v>
      </c>
      <c r="C43" t="s">
        <v>200</v>
      </c>
      <c r="D43" t="str">
        <f>VLOOKUP(C43,Hoja3!$B$3:$C$373,2,FALSE)</f>
        <v>Paquete de Medicion Quesqui, Pozo Quesqui 4DEL</v>
      </c>
      <c r="E43" t="str">
        <f>VLOOKUP(C43,Hoja3!$B$3:$D$373,3,FALSE)</f>
        <v>Quesqui</v>
      </c>
      <c r="L43" t="str">
        <f t="shared" si="0"/>
        <v>Paquet</v>
      </c>
    </row>
    <row r="44" spans="2:12" x14ac:dyDescent="0.25">
      <c r="B44" t="s">
        <v>361</v>
      </c>
      <c r="C44" t="s">
        <v>201</v>
      </c>
      <c r="D44" t="str">
        <f>VLOOKUP(C44,Hoja3!$B$3:$C$373,2,FALSE)</f>
        <v>Paquete de Medicion Ixachi, Pozo Ixachi 2001</v>
      </c>
      <c r="E44" t="str">
        <f>VLOOKUP(C44,Hoja3!$B$3:$D$373,3,FALSE)</f>
        <v>Ixachi</v>
      </c>
      <c r="L44" t="str">
        <f t="shared" si="0"/>
        <v>Paquet</v>
      </c>
    </row>
    <row r="45" spans="2:12" x14ac:dyDescent="0.25">
      <c r="B45" t="s">
        <v>362</v>
      </c>
      <c r="C45" t="s">
        <v>202</v>
      </c>
      <c r="D45" t="str">
        <f>VLOOKUP(C45,Hoja3!$B$3:$C$373,2,FALSE)</f>
        <v>Paquete de Medicion Ixachi, Pozo Perdiz 509</v>
      </c>
      <c r="E45" t="str">
        <f>VLOOKUP(C45,Hoja3!$B$3:$D$373,3,FALSE)</f>
        <v>Ixachi</v>
      </c>
      <c r="L45" t="str">
        <f t="shared" si="0"/>
        <v>Paquet</v>
      </c>
    </row>
    <row r="46" spans="2:12" x14ac:dyDescent="0.25">
      <c r="B46" t="s">
        <v>363</v>
      </c>
      <c r="C46" t="s">
        <v>203</v>
      </c>
      <c r="D46" t="str">
        <f>VLOOKUP(C46,Hoja3!$B$3:$C$373,2,FALSE)</f>
        <v>Paquete de Medicion Ixachi, Pozo Ixachi 44</v>
      </c>
      <c r="E46" t="str">
        <f>VLOOKUP(C46,Hoja3!$B$3:$D$373,3,FALSE)</f>
        <v>Ixachi</v>
      </c>
      <c r="L46" t="str">
        <f t="shared" si="0"/>
        <v>Paquet</v>
      </c>
    </row>
    <row r="47" spans="2:12" x14ac:dyDescent="0.25">
      <c r="B47" t="s">
        <v>364</v>
      </c>
      <c r="C47" t="s">
        <v>204</v>
      </c>
      <c r="D47" t="str">
        <f>VLOOKUP(C47,Hoja3!$B$3:$C$373,2,FALSE)</f>
        <v>Paquete de Medicion Ixachi, Pozo Ixachi 12</v>
      </c>
      <c r="E47" t="str">
        <f>VLOOKUP(C47,Hoja3!$B$3:$D$373,3,FALSE)</f>
        <v>Ixachi</v>
      </c>
      <c r="L47" t="str">
        <f t="shared" si="0"/>
        <v>Paquet</v>
      </c>
    </row>
    <row r="48" spans="2:12" x14ac:dyDescent="0.25">
      <c r="B48" t="s">
        <v>365</v>
      </c>
      <c r="C48" t="s">
        <v>205</v>
      </c>
      <c r="D48" t="str">
        <f>VLOOKUP(C48,Hoja3!$B$3:$C$373,2,FALSE)</f>
        <v>Paquete de Medicion Ixachi, Pozo Perdiz 39</v>
      </c>
      <c r="E48" t="str">
        <f>VLOOKUP(C48,Hoja3!$B$3:$D$373,3,FALSE)</f>
        <v>Ixachi</v>
      </c>
      <c r="L48" t="str">
        <f t="shared" si="0"/>
        <v>Paquet</v>
      </c>
    </row>
    <row r="49" spans="2:12" x14ac:dyDescent="0.25">
      <c r="B49" t="s">
        <v>366</v>
      </c>
      <c r="C49" t="s">
        <v>206</v>
      </c>
      <c r="D49" t="str">
        <f>VLOOKUP(C49,Hoja3!$B$3:$C$373,2,FALSE)</f>
        <v>Paquete de Medicion Ixachi, Pozo Perdiz 525</v>
      </c>
      <c r="E49" t="str">
        <f>VLOOKUP(C49,Hoja3!$B$3:$D$373,3,FALSE)</f>
        <v>Ixachi</v>
      </c>
      <c r="L49" t="str">
        <f t="shared" si="0"/>
        <v>Paquet</v>
      </c>
    </row>
    <row r="50" spans="2:12" x14ac:dyDescent="0.25">
      <c r="B50" t="s">
        <v>355</v>
      </c>
      <c r="C50" t="s">
        <v>103</v>
      </c>
      <c r="D50" t="str">
        <f>VLOOKUP(C50,Hoja3!$B$3:$C$373,2,FALSE)</f>
        <v>GSD de 20" x 52 km de BS Ixachi / Perdiz a C.P.G. Matapionche</v>
      </c>
      <c r="E50" t="str">
        <f>VLOOKUP(C50,Hoja3!$B$3:$D$373,3,FALSE)</f>
        <v>Ixachi</v>
      </c>
      <c r="L50" t="str">
        <f t="shared" si="0"/>
        <v>Ingeni</v>
      </c>
    </row>
    <row r="51" spans="2:12" x14ac:dyDescent="0.25">
      <c r="B51" t="s">
        <v>356</v>
      </c>
      <c r="C51" t="s">
        <v>212</v>
      </c>
      <c r="D51" t="str">
        <f>VLOOKUP(C51,Hoja3!$B$3:$C$373,2,FALSE)</f>
        <v>OGD de 8"Ø x 5.738.098 km del Pozo Cibix-401</v>
      </c>
      <c r="E51" t="str">
        <f>VLOOKUP(C51,Hoja3!$B$3:$D$373,3,FALSE)</f>
        <v>Cibix</v>
      </c>
      <c r="L51" t="str">
        <f t="shared" si="0"/>
        <v>OGD de</v>
      </c>
    </row>
    <row r="52" spans="2:12" x14ac:dyDescent="0.25">
      <c r="B52" t="s">
        <v>355</v>
      </c>
      <c r="C52">
        <v>1</v>
      </c>
      <c r="D52" t="str">
        <f>VLOOKUP(C52,Hoja3!$B$3:$C$373,2,FALSE)</f>
        <v>GSD de 20"Ø x 52 km de BS Ixachi / Perdiz a C.P.G. Matapionche (Seccion 3)</v>
      </c>
      <c r="E52" t="str">
        <f>VLOOKUP(C52,Hoja3!$B$3:$D$373,3,FALSE)</f>
        <v>Ixachi</v>
      </c>
      <c r="L52" t="str">
        <f t="shared" si="0"/>
        <v>1</v>
      </c>
    </row>
    <row r="53" spans="2:12" x14ac:dyDescent="0.25">
      <c r="B53" t="s">
        <v>355</v>
      </c>
      <c r="C53" t="s">
        <v>106</v>
      </c>
      <c r="D53" t="str">
        <f>VLOOKUP(C53,Hoja3!$B$3:$C$373,2,FALSE)</f>
        <v>GSD de 20"Ø x 52 km de BS Ixachi / Perdiz a C.P.G. Matapionche (Seccion 2)</v>
      </c>
      <c r="E53" t="str">
        <f>VLOOKUP(C53,Hoja3!$B$3:$D$373,3,FALSE)</f>
        <v>Ixachi</v>
      </c>
      <c r="L53" t="str">
        <f t="shared" si="0"/>
        <v>Ingeni</v>
      </c>
    </row>
    <row r="54" spans="2:12" x14ac:dyDescent="0.25">
      <c r="B54" t="s">
        <v>357</v>
      </c>
      <c r="C54" t="s">
        <v>213</v>
      </c>
      <c r="D54" t="str">
        <f>VLOOKUP(C54,Hoja3!$B$3:$C$373,2,FALSE)</f>
        <v>OGD de 16" Ø de la MP Cibix 31 a Int. OGD Cibix-32</v>
      </c>
      <c r="E54" t="str">
        <f>VLOOKUP(C54,Hoja3!$B$3:$D$373,3,FALSE)</f>
        <v>Cibix</v>
      </c>
      <c r="L54" t="str">
        <f t="shared" si="0"/>
        <v>OGD de</v>
      </c>
    </row>
    <row r="55" spans="2:12" x14ac:dyDescent="0.25">
      <c r="B55" t="s">
        <v>358</v>
      </c>
      <c r="C55" t="s">
        <v>214</v>
      </c>
      <c r="D55" t="str">
        <f>VLOOKUP(C55,Hoja3!$B$3:$C$373,2,FALSE)</f>
        <v>OGD de 12" x 5.73 km del Pozo Cibix 401 al Cabezal de Recolección Cibix 1</v>
      </c>
      <c r="E55" t="str">
        <f>VLOOKUP(C55,Hoja3!$B$3:$D$373,3,FALSE)</f>
        <v>Cibix</v>
      </c>
      <c r="L55" t="str">
        <f t="shared" si="0"/>
        <v>OGD de</v>
      </c>
    </row>
    <row r="56" spans="2:12" x14ac:dyDescent="0.25">
      <c r="B56" t="s">
        <v>359</v>
      </c>
      <c r="C56" t="s">
        <v>215</v>
      </c>
      <c r="D56" t="str">
        <f>VLOOKUP(C56,Hoja3!$B$3:$C$373,2,FALSE)</f>
        <v>OGD de 8" Ø x 2.1 km de la MP Platao-1EXP a Interconexión con OGD 16"Ø de TMDB a B.S. Cunduacan (1era. Etapa)</v>
      </c>
      <c r="E56" t="str">
        <f>VLOOKUP(C56,Hoja3!$B$3:$D$373,3,FALSE)</f>
        <v>Platao</v>
      </c>
      <c r="L56" t="str">
        <f t="shared" si="0"/>
        <v>OGD de</v>
      </c>
    </row>
    <row r="57" spans="2:12" x14ac:dyDescent="0.25">
      <c r="B57" t="s">
        <v>356</v>
      </c>
      <c r="C57" t="s">
        <v>186</v>
      </c>
      <c r="D57" t="str">
        <f>VLOOKUP(C57,Hoja3!$B$3:$C$373,2,FALSE)</f>
        <v>OGD 30"Ø x 1.6 km de  MP Ixachi-30 a la MP Ixachi 34 (primera etapa)</v>
      </c>
      <c r="E57" t="str">
        <f>VLOOKUP(C57,Hoja3!$B$3:$D$373,3,FALSE)</f>
        <v>Ixachi</v>
      </c>
      <c r="L57" t="str">
        <f t="shared" si="0"/>
        <v>Oleoga</v>
      </c>
    </row>
    <row r="58" spans="2:12" x14ac:dyDescent="0.25">
      <c r="B58" t="s">
        <v>355</v>
      </c>
      <c r="C58" t="s">
        <v>111</v>
      </c>
      <c r="D58" t="str">
        <f>VLOOKUP(C58,Hoja3!$B$3:$C$373,2,FALSE)</f>
        <v>Servicio Integral de Inyección de Agua para Campos Estratégicos</v>
      </c>
      <c r="E58" t="str">
        <f>VLOOKUP(C58,Hoja3!$B$3:$D$373,3,FALSE)</f>
        <v>N/A</v>
      </c>
      <c r="L58" t="str">
        <f t="shared" si="0"/>
        <v>Servic</v>
      </c>
    </row>
    <row r="59" spans="2:12" x14ac:dyDescent="0.25">
      <c r="B59" t="s">
        <v>355</v>
      </c>
      <c r="C59" s="4" t="s">
        <v>112</v>
      </c>
      <c r="D59" s="4" t="e">
        <f>VLOOKUP(C59,Hoja3!$B$3:$C$373,2,FALSE)</f>
        <v>#N/A</v>
      </c>
      <c r="E59" t="e">
        <f>VLOOKUP(C59,Hoja3!$B$3:$D$373,3,FALSE)</f>
        <v>#N/A</v>
      </c>
      <c r="L59" t="str">
        <f t="shared" si="0"/>
        <v>Constr</v>
      </c>
    </row>
    <row r="60" spans="2:12" x14ac:dyDescent="0.25">
      <c r="B60" t="s">
        <v>357</v>
      </c>
      <c r="C60" t="s">
        <v>187</v>
      </c>
      <c r="D60" t="str">
        <f>VLOOKUP(C60,Hoja3!$B$3:$C$373,2,FALSE)</f>
        <v>OGD 30” x 22 km MP Cibix-1 a BS Oxiacaque (Tramo 2)</v>
      </c>
      <c r="E60" t="str">
        <f>VLOOKUP(C60,Hoja3!$B$3:$D$373,3,FALSE)</f>
        <v>Cibix</v>
      </c>
      <c r="L60" t="str">
        <f t="shared" si="0"/>
        <v>OGD de</v>
      </c>
    </row>
    <row r="61" spans="2:12" x14ac:dyDescent="0.25">
      <c r="B61" t="s">
        <v>361</v>
      </c>
      <c r="C61" t="s">
        <v>217</v>
      </c>
      <c r="D61" t="str">
        <f>VLOOKUP(C61,Hoja3!$B$3:$C$373,2,FALSE)</f>
        <v>OGD de 30" x 22 kms. de la MP cibix 1 a BS oxiacaque (tramo 1)</v>
      </c>
      <c r="E61" t="str">
        <f>VLOOKUP(C61,Hoja3!$B$3:$D$373,3,FALSE)</f>
        <v>Cibix</v>
      </c>
      <c r="L61" t="str">
        <f t="shared" si="0"/>
        <v>Constr</v>
      </c>
    </row>
    <row r="62" spans="2:12" x14ac:dyDescent="0.25">
      <c r="B62" t="s">
        <v>355</v>
      </c>
      <c r="C62" t="s">
        <v>115</v>
      </c>
      <c r="D62" t="str">
        <f>VLOOKUP(C62,Hoja3!$B$3:$C$373,2,FALSE)</f>
        <v>Construcción de la Plataforma de Perforación tipo ELMG, Prospecto P-8 AKAL-NW</v>
      </c>
      <c r="E62" t="str">
        <f>VLOOKUP(C62,Hoja3!$B$3:$D$373,3,FALSE)</f>
        <v>Cantarel</v>
      </c>
      <c r="L62" t="str">
        <f t="shared" si="0"/>
        <v>Constr</v>
      </c>
    </row>
    <row r="63" spans="2:12" x14ac:dyDescent="0.25">
      <c r="B63" t="s">
        <v>355</v>
      </c>
      <c r="C63" t="s">
        <v>116</v>
      </c>
      <c r="D63" t="str">
        <f>VLOOKUP(C63,Hoja3!$B$3:$C$373,2,FALSE)</f>
        <v>Construcción de las Plataformas de Perforación tipo ELMG, Prospecto P-1.</v>
      </c>
      <c r="E63" t="str">
        <f>VLOOKUP(C63,Hoja3!$B$3:$D$373,3,FALSE)</f>
        <v>Cantarel</v>
      </c>
      <c r="L63" t="str">
        <f t="shared" si="0"/>
        <v>Constr</v>
      </c>
    </row>
    <row r="64" spans="2:12" x14ac:dyDescent="0.25">
      <c r="B64" t="s">
        <v>355</v>
      </c>
      <c r="C64" t="s">
        <v>117</v>
      </c>
      <c r="D64" t="str">
        <f>VLOOKUP(C64,Hoja3!$B$3:$C$373,2,FALSE)</f>
        <v>Construcción de las Plataformas de Perforación tipo ELMG, Prospecto P-2.</v>
      </c>
      <c r="E64" t="str">
        <f>VLOOKUP(C64,Hoja3!$B$3:$D$373,3,FALSE)</f>
        <v>Cantarel</v>
      </c>
      <c r="L64" t="str">
        <f t="shared" si="0"/>
        <v>Constr</v>
      </c>
    </row>
    <row r="65" spans="2:12" x14ac:dyDescent="0.25">
      <c r="B65" t="s">
        <v>355</v>
      </c>
      <c r="C65" t="s">
        <v>118</v>
      </c>
      <c r="D65" t="str">
        <f>VLOOKUP(C65,Hoja3!$B$3:$C$373,2,FALSE)</f>
        <v>Construcción de la Plataforma de Perforación tipo Estructura Ligera Marina Genérica, Prospecto P-7</v>
      </c>
      <c r="E65" t="str">
        <f>VLOOKUP(C65,Hoja3!$B$3:$D$373,3,FALSE)</f>
        <v>Cantarel</v>
      </c>
      <c r="L65" t="str">
        <f t="shared" si="0"/>
        <v>Constr</v>
      </c>
    </row>
    <row r="66" spans="2:12" x14ac:dyDescent="0.25">
      <c r="B66" t="s">
        <v>355</v>
      </c>
      <c r="C66" t="s">
        <v>119</v>
      </c>
      <c r="D66" t="str">
        <f>VLOOKUP(C66,Hoja3!$B$3:$C$373,2,FALSE)</f>
        <v>OGD de 20" x 6.3 KM de EMDR Pokche-NE-A a Xanab-B</v>
      </c>
      <c r="E66" t="str">
        <f>VLOOKUP(C66,Hoja3!$B$3:$D$373,3,FALSE)</f>
        <v>Pokche</v>
      </c>
      <c r="L66" t="str">
        <f t="shared" si="0"/>
        <v>Oleoga</v>
      </c>
    </row>
    <row r="67" spans="2:12" x14ac:dyDescent="0.25">
      <c r="B67" t="s">
        <v>355</v>
      </c>
      <c r="C67" t="s">
        <v>120</v>
      </c>
      <c r="D67" t="str">
        <f>VLOOKUP(C67,Hoja3!$B$3:$C$373,2,FALSE)</f>
        <v>OGD de 20" x 30 KM de EMTR Atoyatl-A a Cahua-A</v>
      </c>
      <c r="E67" t="str">
        <f>VLOOKUP(C67,Hoja3!$B$3:$D$373,3,FALSE)</f>
        <v>Atoyatl</v>
      </c>
      <c r="L67" t="str">
        <f t="shared" si="0"/>
        <v>Oleoga</v>
      </c>
    </row>
    <row r="68" spans="2:12" x14ac:dyDescent="0.25">
      <c r="B68" t="s">
        <v>355</v>
      </c>
      <c r="C68" t="s">
        <v>121</v>
      </c>
      <c r="D68" t="str">
        <f>VLOOKUP(C68,Hoja3!$B$3:$C$373,2,FALSE)</f>
        <v>OGD de 20" x 47.5 KM de EMTR Tentok-A a Kab-C</v>
      </c>
      <c r="E68" t="str">
        <f>VLOOKUP(C68,Hoja3!$B$3:$D$373,3,FALSE)</f>
        <v>Tentok</v>
      </c>
      <c r="L68" t="str">
        <f t="shared" si="0"/>
        <v>Oleoga</v>
      </c>
    </row>
    <row r="69" spans="2:12" x14ac:dyDescent="0.25">
      <c r="B69" t="s">
        <v>355</v>
      </c>
      <c r="C69" t="s">
        <v>122</v>
      </c>
      <c r="D69" t="str">
        <f>VLOOKUP(C69,Hoja3!$B$3:$C$373,2,FALSE)</f>
        <v>OGD 20" x 0.25 km de Akal NW a H.T.</v>
      </c>
      <c r="E69" t="str">
        <f>VLOOKUP(C69,Hoja3!$B$3:$D$373,3,FALSE)</f>
        <v>Cantarel</v>
      </c>
      <c r="L69" t="str">
        <f t="shared" si="0"/>
        <v>Oleoga</v>
      </c>
    </row>
    <row r="70" spans="2:12" x14ac:dyDescent="0.25">
      <c r="B70" t="s">
        <v>367</v>
      </c>
      <c r="C70" t="s">
        <v>218</v>
      </c>
      <c r="D70" t="str">
        <f>VLOOKUP(C70,Hoja3!$B$3:$C$373,2,FALSE)</f>
        <v>IPC de la Localización Xinich-2 para perforar los Pozos Xinich-2 y Xinich-3</v>
      </c>
      <c r="E70" t="str">
        <f>VLOOKUP(C70,Hoja3!$B$3:$D$373,3,FALSE)</f>
        <v>Xinich</v>
      </c>
      <c r="L70" t="str">
        <f t="shared" si="0"/>
        <v>Ingeni</v>
      </c>
    </row>
    <row r="71" spans="2:12" x14ac:dyDescent="0.25">
      <c r="B71" t="s">
        <v>358</v>
      </c>
      <c r="C71" t="s">
        <v>188</v>
      </c>
      <c r="D71" t="str">
        <f>VLOOKUP(C71,Hoja3!$B$3:$C$373,2,FALSE)</f>
        <v>Amarre de Pozos definitivo en campo Ixachi</v>
      </c>
      <c r="E71" t="str">
        <f>VLOOKUP(C71,Hoja3!$B$3:$D$373,3,FALSE)</f>
        <v>Ixachi</v>
      </c>
      <c r="L71" t="str">
        <f t="shared" si="0"/>
        <v>Constr</v>
      </c>
    </row>
    <row r="72" spans="2:12" x14ac:dyDescent="0.25">
      <c r="B72" t="s">
        <v>359</v>
      </c>
      <c r="C72" t="s">
        <v>189</v>
      </c>
      <c r="D72" t="str">
        <f>VLOOKUP(C72,Hoja3!$B$3:$C$373,2,FALSE)</f>
        <v>OGD 20”Ø X 2 KM MP Ixachi 12 a ducto de MP Ixachi 1001</v>
      </c>
      <c r="E72" t="str">
        <f>VLOOKUP(C72,Hoja3!$B$3:$D$373,3,FALSE)</f>
        <v>Ixachi</v>
      </c>
      <c r="L72" t="str">
        <f t="shared" si="0"/>
        <v>Oleoga</v>
      </c>
    </row>
    <row r="73" spans="2:12" x14ac:dyDescent="0.25">
      <c r="B73" t="s">
        <v>355</v>
      </c>
      <c r="C73" t="s">
        <v>127</v>
      </c>
      <c r="D73" t="str">
        <f>VLOOKUP(C73,Hoja3!$B$3:$C$373,2,FALSE)</f>
        <v>Compresión de Gas Húmedo Amargo de la Reducción de Contrapresión Quesqui (Fase 1).</v>
      </c>
      <c r="E73" t="str">
        <f>VLOOKUP(C73,Hoja3!$B$3:$D$373,3,FALSE)</f>
        <v>Quesqui</v>
      </c>
      <c r="L73" t="str">
        <f t="shared" si="0"/>
        <v>Compre</v>
      </c>
    </row>
    <row r="74" spans="2:12" x14ac:dyDescent="0.25">
      <c r="B74" t="s">
        <v>355</v>
      </c>
      <c r="C74" t="s">
        <v>128</v>
      </c>
      <c r="D74" t="str">
        <f>VLOOKUP(C74,Hoja3!$B$3:$C$373,2,FALSE)</f>
        <v>Compresión de Gas Húmedo Amargo de la Reducción de Contrapresión Quesqui (Fase 2).</v>
      </c>
      <c r="E74" t="str">
        <f>VLOOKUP(C74,Hoja3!$B$3:$D$373,3,FALSE)</f>
        <v>Quesqui</v>
      </c>
      <c r="L74" t="str">
        <f t="shared" si="0"/>
        <v>Compre</v>
      </c>
    </row>
    <row r="75" spans="2:12" x14ac:dyDescent="0.25">
      <c r="B75" t="s">
        <v>354</v>
      </c>
      <c r="C75" t="s">
        <v>222</v>
      </c>
      <c r="D75" t="str">
        <f>VLOOKUP(C75,Hoja3!$B$3:$C$373,2,FALSE)</f>
        <v>Rehab. de camino batería Tupilco 1 a la trampa los sapos.</v>
      </c>
      <c r="E75" t="str">
        <f>VLOOKUP(C75,Hoja3!$B$3:$D$373,3,FALSE)</f>
        <v>Tupilco</v>
      </c>
      <c r="L75" t="str">
        <f t="shared" si="0"/>
        <v>Rehabi</v>
      </c>
    </row>
    <row r="76" spans="2:12" x14ac:dyDescent="0.25">
      <c r="B76" t="s">
        <v>360</v>
      </c>
      <c r="C76" t="s">
        <v>190</v>
      </c>
      <c r="D76" t="str">
        <f>VLOOKUP(C76,Hoja3!$B$3:$C$373,2,FALSE)</f>
        <v>OGD 30"Ø X 4.4 KM MP Ixachi 34 a MP Perdiz 35. (segunda etapa)</v>
      </c>
      <c r="E76" t="str">
        <f>VLOOKUP(C76,Hoja3!$B$3:$D$373,3,FALSE)</f>
        <v>Ixachi</v>
      </c>
      <c r="L76" t="str">
        <f t="shared" si="0"/>
        <v>OGD 30</v>
      </c>
    </row>
    <row r="77" spans="2:12" x14ac:dyDescent="0.25">
      <c r="B77" t="s">
        <v>355</v>
      </c>
      <c r="C77" t="s">
        <v>132</v>
      </c>
      <c r="D77" t="str">
        <f>VLOOKUP(C77,Hoja3!$B$3:$C$373,2,FALSE)</f>
        <v>IPC de Ductos Región Norte y Sur (Contrato 3)</v>
      </c>
      <c r="E77" t="str">
        <f>VLOOKUP(C77,Hoja3!$B$3:$D$373,3,FALSE)</f>
        <v>N/A</v>
      </c>
      <c r="L77" t="str">
        <f t="shared" si="0"/>
        <v>Ingeni</v>
      </c>
    </row>
    <row r="78" spans="2:12" x14ac:dyDescent="0.25">
      <c r="B78" t="s">
        <v>355</v>
      </c>
      <c r="C78" t="s">
        <v>133</v>
      </c>
      <c r="D78" t="str">
        <f>VLOOKUP(C78,Hoja3!$B$3:$C$373,2,FALSE)</f>
        <v>OGD de 30" Ø X 3.7 km de la MP Ixachi 1001 a la Int. con Ogd Perdiz 35</v>
      </c>
      <c r="E78" t="str">
        <f>VLOOKUP(C78,Hoja3!$B$3:$D$373,3,FALSE)</f>
        <v>Ixachi</v>
      </c>
      <c r="L78" t="str">
        <f t="shared" si="0"/>
        <v>Oleoga</v>
      </c>
    </row>
    <row r="79" spans="2:12" x14ac:dyDescent="0.25">
      <c r="B79" t="s">
        <v>368</v>
      </c>
      <c r="C79" t="s">
        <v>223</v>
      </c>
      <c r="D79" t="str">
        <f>VLOOKUP(C79,Hoja3!$B$3:$C$373,2,FALSE)</f>
        <v>IPC de camino de acceso, Pera para la perforación de Bakte-6</v>
      </c>
      <c r="E79" t="str">
        <f>VLOOKUP(C79,Hoja3!$B$3:$D$373,3,FALSE)</f>
        <v>Bakte</v>
      </c>
      <c r="L79" t="str">
        <f t="shared" si="0"/>
        <v>Desarr</v>
      </c>
    </row>
    <row r="80" spans="2:12" x14ac:dyDescent="0.25">
      <c r="B80" t="s">
        <v>369</v>
      </c>
      <c r="C80" t="s">
        <v>224</v>
      </c>
      <c r="D80" t="str">
        <f>VLOOKUP(C80,Hoja3!$B$3:$C$373,2,FALSE)</f>
        <v>Int. de trabajos de acondicionamiento de terrenos en Dos Bocas en el Patio El Mico"</v>
      </c>
      <c r="E80" t="str">
        <f>VLOOKUP(C80,Hoja3!$B$3:$D$373,3,FALSE)</f>
        <v>TMDB</v>
      </c>
      <c r="L80" t="str">
        <f t="shared" si="0"/>
        <v>Integr</v>
      </c>
    </row>
    <row r="81" spans="2:12" x14ac:dyDescent="0.25">
      <c r="B81" t="s">
        <v>370</v>
      </c>
      <c r="C81" t="s">
        <v>225</v>
      </c>
      <c r="D81" t="str">
        <f>VLOOKUP(C81,Hoja3!$B$3:$C$373,2,FALSE)</f>
        <v>ampl. de localización Tupilco-153, cimentación adicional para Tupilco-3013, Tuplico-3023 y Tupilco 3031</v>
      </c>
      <c r="E81" t="str">
        <f>VLOOKUP(C81,Hoja3!$B$3:$D$373,3,FALSE)</f>
        <v>Tupilco</v>
      </c>
      <c r="L81" t="str">
        <f t="shared" si="0"/>
        <v>Amplia</v>
      </c>
    </row>
    <row r="82" spans="2:12" x14ac:dyDescent="0.25">
      <c r="B82" t="s">
        <v>331</v>
      </c>
      <c r="C82" t="s">
        <v>226</v>
      </c>
      <c r="D82" t="str">
        <f>VLOOKUP(C82,Hoja3!$B$3:$C$373,2,FALSE)</f>
        <v>Inter. en Cabezal AT Tokal B.S. Tupilco Profundo</v>
      </c>
      <c r="E82" t="str">
        <f>VLOOKUP(C82,Hoja3!$B$3:$D$373,3,FALSE)</f>
        <v>Tupilco</v>
      </c>
      <c r="L82" t="str">
        <f t="shared" si="0"/>
        <v>Interc</v>
      </c>
    </row>
    <row r="83" spans="2:12" x14ac:dyDescent="0.25">
      <c r="B83" t="s">
        <v>328</v>
      </c>
      <c r="C83" t="s">
        <v>227</v>
      </c>
      <c r="D83" t="str">
        <f>VLOOKUP(C83,Hoja3!$B$3:$C$373,2,FALSE)</f>
        <v>Amarre definitivo del Pozo Quesqui 417</v>
      </c>
      <c r="E83" t="str">
        <f>VLOOKUP(C83,Hoja3!$B$3:$D$373,3,FALSE)</f>
        <v>Quesqui</v>
      </c>
      <c r="L83" t="str">
        <f t="shared" si="0"/>
        <v>Amarre</v>
      </c>
    </row>
    <row r="84" spans="2:12" x14ac:dyDescent="0.25">
      <c r="B84" t="s">
        <v>329</v>
      </c>
      <c r="C84" t="s">
        <v>228</v>
      </c>
      <c r="D84" t="str">
        <f>VLOOKUP(C84,Hoja3!$B$3:$C$373,2,FALSE)</f>
        <v>Amarres definitivos de los pozos Cibix 3, 32, 35, 36, 37, 38, 39 y 40</v>
      </c>
      <c r="E84" t="str">
        <f>VLOOKUP(C84,Hoja3!$B$3:$D$373,3,FALSE)</f>
        <v>Cibix</v>
      </c>
      <c r="L84" t="str">
        <f t="shared" si="0"/>
        <v>Amarre</v>
      </c>
    </row>
    <row r="85" spans="2:12" x14ac:dyDescent="0.25">
      <c r="B85" t="s">
        <v>331</v>
      </c>
      <c r="C85" t="s">
        <v>229</v>
      </c>
      <c r="D85" t="str">
        <f>VLOOKUP(C85,Hoja3!$B$3:$C$373,2,FALSE)</f>
        <v>OGD de 8"Ø x 12.3 Km de pozo Bakte-1 a BS Agave</v>
      </c>
      <c r="E85" t="str">
        <f>VLOOKUP(C85,Hoja3!$B$3:$D$373,3,FALSE)</f>
        <v>Bakte</v>
      </c>
      <c r="L85" t="str">
        <f t="shared" si="0"/>
        <v>Oleoga</v>
      </c>
    </row>
    <row r="86" spans="2:12" x14ac:dyDescent="0.25">
      <c r="B86" t="s">
        <v>328</v>
      </c>
      <c r="C86" t="s">
        <v>230</v>
      </c>
      <c r="D86" t="str">
        <f>VLOOKUP(C86,Hoja3!$B$3:$C$373,2,FALSE)</f>
        <v>OGD de 20"Ø x 12.3 Km de pozo Bakte-1 a BS Agave</v>
      </c>
      <c r="E86" t="str">
        <f>VLOOKUP(C86,Hoja3!$B$3:$D$373,3,FALSE)</f>
        <v>Bakte</v>
      </c>
      <c r="L86" t="str">
        <f t="shared" si="0"/>
        <v>Oleoga</v>
      </c>
    </row>
    <row r="87" spans="2:12" x14ac:dyDescent="0.25">
      <c r="B87" t="s">
        <v>331</v>
      </c>
      <c r="C87" t="s">
        <v>231</v>
      </c>
      <c r="D87" t="str">
        <f>VLOOKUP(C87,Hoja3!$B$3:$C$373,2,FALSE)</f>
        <v>OGD de 20" Ø x 5.00 km de cabezal Ayapa a Inter. con OGD 30" Ø x 22 km MP Cibix 1 a BS Oxiacaque</v>
      </c>
      <c r="E87" t="str">
        <f>VLOOKUP(C87,Hoja3!$B$3:$D$373,3,FALSE)</f>
        <v>Cibix</v>
      </c>
      <c r="L87" t="str">
        <f t="shared" si="0"/>
        <v>Oleoga</v>
      </c>
    </row>
    <row r="88" spans="2:12" x14ac:dyDescent="0.25">
      <c r="B88" t="s">
        <v>331</v>
      </c>
      <c r="C88" t="s">
        <v>232</v>
      </c>
      <c r="D88" t="str">
        <f>VLOOKUP(C88,Hoja3!$B$3:$C$373,2,FALSE)</f>
        <v>OGD de 20" Ø X 6.00 Km de MP Platao 1 a Inter. con Cabezal de Pozos Tokal</v>
      </c>
      <c r="E88" t="str">
        <f>VLOOKUP(C88,Hoja3!$B$3:$D$373,3,FALSE)</f>
        <v>Tokal</v>
      </c>
      <c r="L88" t="str">
        <f t="shared" si="0"/>
        <v>Oleoga</v>
      </c>
    </row>
    <row r="89" spans="2:12" x14ac:dyDescent="0.25">
      <c r="B89" t="s">
        <v>366</v>
      </c>
      <c r="C89" t="s">
        <v>234</v>
      </c>
      <c r="D89" t="str">
        <f>VLOOKUP(C89,Hoja3!$B$3:$C$373,2,FALSE)</f>
        <v>Pavimento Asfáltico Ixachi-1DEL-La Barahúnda-Entronque Autopista Cosamaloapan-Km. 48.</v>
      </c>
      <c r="E89" t="str">
        <f>VLOOKUP(C89,Hoja3!$B$3:$D$373,3,FALSE)</f>
        <v>Ixachi</v>
      </c>
      <c r="L89" t="str">
        <f t="shared" si="0"/>
        <v>Pavime</v>
      </c>
    </row>
    <row r="90" spans="2:12" x14ac:dyDescent="0.25">
      <c r="B90" t="s">
        <v>355</v>
      </c>
      <c r="C90" t="s">
        <v>145</v>
      </c>
      <c r="D90" t="str">
        <f>VLOOKUP(C90,Hoja3!$B$3:$C$373,2,FALSE)</f>
        <v>OGD de 30"Ø x 2.3 km de la MP Perdiz 35 a la BS Perdiz</v>
      </c>
      <c r="E90" t="str">
        <f>VLOOKUP(C90,Hoja3!$B$3:$D$373,3,FALSE)</f>
        <v>Perdiz</v>
      </c>
      <c r="L90" t="str">
        <f t="shared" si="0"/>
        <v>Oleoga</v>
      </c>
    </row>
    <row r="91" spans="2:12" x14ac:dyDescent="0.25">
      <c r="B91" t="s">
        <v>353</v>
      </c>
      <c r="C91" t="s">
        <v>238</v>
      </c>
      <c r="D91" t="str">
        <f>VLOOKUP(C91,Hoja3!$B$3:$C$373,2,FALSE)</f>
        <v>OEM, Amarre de Pozos, pruebas y puesta en operación de EMDR-1 Pokche-NE.</v>
      </c>
      <c r="E91" t="str">
        <f>VLOOKUP(C91,Hoja3!$B$3:$D$373,3,FALSE)</f>
        <v>Pokche</v>
      </c>
      <c r="L91" t="str">
        <f t="shared" si="0"/>
        <v>OEM, A</v>
      </c>
    </row>
    <row r="92" spans="2:12" x14ac:dyDescent="0.25">
      <c r="B92" t="s">
        <v>356</v>
      </c>
      <c r="C92" t="s">
        <v>239</v>
      </c>
      <c r="D92" t="str">
        <f>VLOOKUP(C92,Hoja3!$B$3:$C$373,2,FALSE)</f>
        <v>Amarres definitivos de los pozos Platao 2, 3 y 4</v>
      </c>
      <c r="E92" t="str">
        <f>VLOOKUP(C92,Hoja3!$B$3:$D$373,3,FALSE)</f>
        <v>Platao</v>
      </c>
      <c r="L92" t="str">
        <f t="shared" si="0"/>
        <v>Amarre</v>
      </c>
    </row>
    <row r="93" spans="2:12" x14ac:dyDescent="0.25">
      <c r="B93" t="s">
        <v>371</v>
      </c>
      <c r="C93" t="s">
        <v>240</v>
      </c>
      <c r="D93" t="str">
        <f>VLOOKUP(C93,Hoja3!$B$3:$C$373,2,FALSE)</f>
        <v>Terminación de la infra. Superficial para la Perforación del Pozo de la Localización Exploratoria Pitzi-1EXP".</v>
      </c>
      <c r="E93" t="str">
        <f>VLOOKUP(C93,Hoja3!$B$3:$D$373,3,FALSE)</f>
        <v>Pitzi</v>
      </c>
      <c r="L93" t="str">
        <f t="shared" si="0"/>
        <v>Termin</v>
      </c>
    </row>
    <row r="94" spans="2:12" x14ac:dyDescent="0.25">
      <c r="B94" t="s">
        <v>333</v>
      </c>
      <c r="C94" t="s">
        <v>241</v>
      </c>
      <c r="D94" t="str">
        <f>VLOOKUP(C94,Hoja3!$B$3:$C$373,2,FALSE)</f>
        <v>Insp. y pruebas de elementos estruc. de  PP-Tekel-A.</v>
      </c>
      <c r="E94" t="str">
        <f>VLOOKUP(C94,Hoja3!$B$3:$D$373,3,FALSE)</f>
        <v>Tekel</v>
      </c>
      <c r="L94" t="str">
        <f t="shared" si="0"/>
        <v>Inspec</v>
      </c>
    </row>
    <row r="95" spans="2:12" x14ac:dyDescent="0.25">
      <c r="B95" t="s">
        <v>333</v>
      </c>
      <c r="C95" t="s">
        <v>242</v>
      </c>
      <c r="D95" t="str">
        <f>VLOOKUP(C95,Hoja3!$B$3:$C$373,2,FALSE)</f>
        <v>Insp. y pruebas de elementos estruc. de  HA-LIT-A2</v>
      </c>
      <c r="E95" t="str">
        <f>VLOOKUP(C95,Hoja3!$B$3:$D$373,3,FALSE)</f>
        <v>Ha-Lit</v>
      </c>
      <c r="L95" t="str">
        <f t="shared" si="0"/>
        <v>Inspec</v>
      </c>
    </row>
    <row r="96" spans="2:12" x14ac:dyDescent="0.25">
      <c r="B96" t="s">
        <v>372</v>
      </c>
      <c r="C96" t="s">
        <v>245</v>
      </c>
      <c r="D96" t="str">
        <f>VLOOKUP(C96,Hoja3!$B$3:$C$373,2,FALSE)</f>
        <v>Hab. de carril de desaceleración/aceleración, obras comp. y señalética</v>
      </c>
      <c r="E96" t="str">
        <f>VLOOKUP(C96,Hoja3!$B$3:$D$373,3,FALSE)</f>
        <v>Chukox</v>
      </c>
      <c r="L96" t="str">
        <f t="shared" si="0"/>
        <v>Habili</v>
      </c>
    </row>
    <row r="97" spans="2:12" x14ac:dyDescent="0.25">
      <c r="B97" t="s">
        <v>355</v>
      </c>
      <c r="C97" s="4" t="s">
        <v>336</v>
      </c>
      <c r="D97" s="4" t="e">
        <f>VLOOKUP(C97,Hoja3!$B$3:$C$373,2,FALSE)</f>
        <v>#N/A</v>
      </c>
      <c r="E97" t="e">
        <f>VLOOKUP(C97,Hoja3!$B$3:$D$373,3,FALSE)</f>
        <v>#N/A</v>
      </c>
      <c r="L97" t="str">
        <f t="shared" si="0"/>
        <v>Constr</v>
      </c>
    </row>
    <row r="98" spans="2:12" x14ac:dyDescent="0.25">
      <c r="B98" t="s">
        <v>338</v>
      </c>
      <c r="C98" s="4" t="s">
        <v>153</v>
      </c>
      <c r="D98" s="4" t="e">
        <f>VLOOKUP(C98,Hoja3!$B$3:$C$373,2,FALSE)</f>
        <v>#N/A</v>
      </c>
      <c r="E98" t="e">
        <f>VLOOKUP(C98,Hoja3!$B$3:$D$373,3,FALSE)</f>
        <v>#N/A</v>
      </c>
      <c r="L98" t="str">
        <f t="shared" si="0"/>
        <v>OT-844</v>
      </c>
    </row>
    <row r="99" spans="2:12" x14ac:dyDescent="0.25">
      <c r="B99" t="s">
        <v>329</v>
      </c>
      <c r="C99" s="4" t="s">
        <v>339</v>
      </c>
      <c r="D99" s="4" t="e">
        <f>VLOOKUP(C99,Hoja3!$B$3:$C$373,2,FALSE)</f>
        <v>#VALUE!</v>
      </c>
      <c r="E99" t="e">
        <f>VLOOKUP(C99,Hoja3!$B$3:$D$373,3,FALSE)</f>
        <v>#VALUE!</v>
      </c>
      <c r="L99" t="str">
        <f t="shared" si="0"/>
        <v>Constr</v>
      </c>
    </row>
    <row r="100" spans="2:12" x14ac:dyDescent="0.25">
      <c r="B100" t="s">
        <v>330</v>
      </c>
      <c r="C100" s="4" t="s">
        <v>340</v>
      </c>
      <c r="D100" s="4" t="e">
        <f>VLOOKUP(C100,Hoja3!$B$3:$C$373,2,FALSE)</f>
        <v>#N/A</v>
      </c>
      <c r="E100" t="e">
        <f>VLOOKUP(C100,Hoja3!$B$3:$D$373,3,FALSE)</f>
        <v>#N/A</v>
      </c>
      <c r="L100" t="str">
        <f t="shared" si="0"/>
        <v>Constr</v>
      </c>
    </row>
    <row r="101" spans="2:12" x14ac:dyDescent="0.25">
      <c r="B101" t="s">
        <v>332</v>
      </c>
      <c r="C101" s="4" t="s">
        <v>341</v>
      </c>
      <c r="D101" s="4" t="e">
        <f>VLOOKUP(C101,Hoja3!$B$3:$C$373,2,FALSE)</f>
        <v>#N/A</v>
      </c>
      <c r="E101" t="e">
        <f>VLOOKUP(C101,Hoja3!$B$3:$D$373,3,FALSE)</f>
        <v>#N/A</v>
      </c>
      <c r="L101" t="str">
        <f t="shared" si="0"/>
        <v>Constr</v>
      </c>
    </row>
    <row r="102" spans="2:12" x14ac:dyDescent="0.25">
      <c r="B102" t="s">
        <v>328</v>
      </c>
      <c r="C102" t="s">
        <v>342</v>
      </c>
      <c r="D102" t="s">
        <v>315</v>
      </c>
      <c r="E102" t="e">
        <f>VLOOKUP(C102,Hoja3!$B$3:$D$373,3,FALSE)</f>
        <v>#VALUE!</v>
      </c>
      <c r="L102" t="str">
        <f t="shared" ref="L102:L112" si="1">LEFT(C102,6)</f>
        <v>Constr</v>
      </c>
    </row>
    <row r="103" spans="2:12" x14ac:dyDescent="0.25">
      <c r="B103" t="s">
        <v>332</v>
      </c>
      <c r="C103" s="4" t="s">
        <v>343</v>
      </c>
      <c r="D103" s="4" t="e">
        <f>VLOOKUP(C103,Hoja3!$B$3:$C$373,2,FALSE)</f>
        <v>#N/A</v>
      </c>
      <c r="E103" t="e">
        <f>VLOOKUP(C103,Hoja3!$B$3:$D$373,3,FALSE)</f>
        <v>#N/A</v>
      </c>
      <c r="L103" t="str">
        <f t="shared" si="1"/>
        <v>Constr</v>
      </c>
    </row>
    <row r="104" spans="2:12" x14ac:dyDescent="0.25">
      <c r="B104" t="s">
        <v>354</v>
      </c>
      <c r="C104" s="4" t="s">
        <v>344</v>
      </c>
      <c r="D104" s="4" t="e">
        <f>VLOOKUP(C104,Hoja3!$B$3:$C$373,2,FALSE)</f>
        <v>#N/A</v>
      </c>
      <c r="E104" t="e">
        <f>VLOOKUP(C104,Hoja3!$B$3:$D$373,3,FALSE)</f>
        <v>#N/A</v>
      </c>
      <c r="L104" t="str">
        <f t="shared" si="1"/>
        <v>Constr</v>
      </c>
    </row>
    <row r="105" spans="2:12" x14ac:dyDescent="0.25">
      <c r="B105" t="s">
        <v>357</v>
      </c>
      <c r="C105" s="4" t="s">
        <v>345</v>
      </c>
      <c r="D105" s="4" t="e">
        <f>VLOOKUP(C105,Hoja3!$B$3:$C$373,2,FALSE)</f>
        <v>#N/A</v>
      </c>
      <c r="E105" t="e">
        <f>VLOOKUP(C105,Hoja3!$B$3:$D$373,3,FALSE)</f>
        <v>#N/A</v>
      </c>
      <c r="L105" t="str">
        <f t="shared" si="1"/>
        <v>Constr</v>
      </c>
    </row>
    <row r="106" spans="2:12" x14ac:dyDescent="0.25">
      <c r="B106" t="s">
        <v>355</v>
      </c>
      <c r="C106" s="4" t="s">
        <v>347</v>
      </c>
      <c r="D106" s="4" t="e">
        <f>VLOOKUP(C106,Hoja3!$B$3:$C$373,2,FALSE)</f>
        <v>#N/A</v>
      </c>
      <c r="E106" t="e">
        <f>VLOOKUP(C106,Hoja3!$B$3:$D$373,3,FALSE)</f>
        <v>#N/A</v>
      </c>
      <c r="L106" t="str">
        <f t="shared" si="1"/>
        <v>Constr</v>
      </c>
    </row>
    <row r="107" spans="2:12" x14ac:dyDescent="0.25">
      <c r="B107" t="s">
        <v>349</v>
      </c>
      <c r="C107" s="4" t="s">
        <v>348</v>
      </c>
      <c r="D107" s="4" t="e">
        <f>VLOOKUP(C107,Hoja3!$B$3:$C$373,2,FALSE)</f>
        <v>#N/A</v>
      </c>
      <c r="E107" t="e">
        <f>VLOOKUP(C107,Hoja3!$B$3:$D$373,3,FALSE)</f>
        <v>#N/A</v>
      </c>
      <c r="L107" t="str">
        <f t="shared" si="1"/>
        <v>OEM, A</v>
      </c>
    </row>
    <row r="108" spans="2:12" x14ac:dyDescent="0.25">
      <c r="B108" t="s">
        <v>355</v>
      </c>
      <c r="C108" s="4" t="s">
        <v>163</v>
      </c>
      <c r="D108" s="4" t="e">
        <f>VLOOKUP(C108,Hoja3!$B$3:$C$373,2,FALSE)</f>
        <v>#N/A</v>
      </c>
      <c r="E108" t="e">
        <f>VLOOKUP(C108,Hoja3!$B$3:$D$373,3,FALSE)</f>
        <v>#N/A</v>
      </c>
      <c r="L108" t="str">
        <f t="shared" si="1"/>
        <v>Ingeni</v>
      </c>
    </row>
    <row r="109" spans="2:12" x14ac:dyDescent="0.25">
      <c r="B109" t="s">
        <v>355</v>
      </c>
      <c r="C109" s="4" t="s">
        <v>164</v>
      </c>
      <c r="D109" s="4" t="e">
        <f>VLOOKUP(C109,Hoja3!$B$3:$C$373,2,FALSE)</f>
        <v>#N/A</v>
      </c>
      <c r="E109" t="e">
        <f>VLOOKUP(C109,Hoja3!$B$3:$D$373,3,FALSE)</f>
        <v>#N/A</v>
      </c>
      <c r="L109" t="str">
        <f t="shared" si="1"/>
        <v>Ingeni</v>
      </c>
    </row>
    <row r="110" spans="2:12" x14ac:dyDescent="0.25">
      <c r="B110" t="s">
        <v>356</v>
      </c>
      <c r="C110" s="4" t="s">
        <v>350</v>
      </c>
      <c r="D110" s="4" t="e">
        <f>VLOOKUP(C110,Hoja3!$B$3:$C$373,2,FALSE)</f>
        <v>#N/A</v>
      </c>
      <c r="E110" t="e">
        <f>VLOOKUP(C110,Hoja3!$B$3:$D$373,3,FALSE)</f>
        <v>#N/A</v>
      </c>
      <c r="L110" t="str">
        <f t="shared" si="1"/>
        <v>Oleoga</v>
      </c>
    </row>
    <row r="111" spans="2:12" x14ac:dyDescent="0.25">
      <c r="B111" t="s">
        <v>357</v>
      </c>
      <c r="C111" s="4" t="s">
        <v>351</v>
      </c>
      <c r="D111" s="4" t="e">
        <f>VLOOKUP(C111,Hoja3!$B$3:$C$373,2,FALSE)</f>
        <v>#N/A</v>
      </c>
      <c r="E111" t="e">
        <f>VLOOKUP(C111,Hoja3!$B$3:$D$373,3,FALSE)</f>
        <v>#N/A</v>
      </c>
      <c r="L111" t="str">
        <f t="shared" si="1"/>
        <v>Oleoga</v>
      </c>
    </row>
    <row r="112" spans="2:12" x14ac:dyDescent="0.25">
      <c r="B112" t="s">
        <v>358</v>
      </c>
      <c r="C112" s="4" t="s">
        <v>352</v>
      </c>
      <c r="D112" s="4" t="e">
        <f>VLOOKUP(C112,Hoja3!$B$3:$C$373,2,FALSE)</f>
        <v>#N/A</v>
      </c>
      <c r="E112" t="e">
        <f>VLOOKUP(C112,Hoja3!$B$3:$D$373,3,FALSE)</f>
        <v>#N/A</v>
      </c>
      <c r="L112" t="str">
        <f t="shared" si="1"/>
        <v>Oleoga</v>
      </c>
    </row>
  </sheetData>
  <autoFilter ref="C2:D489" xr:uid="{44CF65FD-6FE3-492D-86B1-47767841ED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0598-65FA-41BB-8CED-4CDE845E6878}">
  <dimension ref="A2:D220"/>
  <sheetViews>
    <sheetView zoomScale="220" zoomScaleNormal="220" workbookViewId="0">
      <selection activeCell="A2" sqref="A2"/>
    </sheetView>
  </sheetViews>
  <sheetFormatPr baseColWidth="10" defaultRowHeight="15" x14ac:dyDescent="0.25"/>
  <cols>
    <col min="2" max="2" width="99.42578125" customWidth="1"/>
    <col min="3" max="3" width="121.7109375" customWidth="1"/>
  </cols>
  <sheetData>
    <row r="2" spans="2:4" x14ac:dyDescent="0.25">
      <c r="B2" s="1" t="s">
        <v>10</v>
      </c>
      <c r="C2" t="s">
        <v>6</v>
      </c>
    </row>
    <row r="3" spans="2:4" x14ac:dyDescent="0.25">
      <c r="B3" t="s">
        <v>54</v>
      </c>
      <c r="C3" t="s">
        <v>54</v>
      </c>
      <c r="D3" t="s">
        <v>414</v>
      </c>
    </row>
    <row r="4" spans="2:4" x14ac:dyDescent="0.25">
      <c r="B4" t="s">
        <v>55</v>
      </c>
      <c r="C4" t="s">
        <v>55</v>
      </c>
      <c r="D4" t="s">
        <v>415</v>
      </c>
    </row>
    <row r="5" spans="2:4" x14ac:dyDescent="0.25">
      <c r="B5" t="s">
        <v>56</v>
      </c>
      <c r="C5" t="s">
        <v>56</v>
      </c>
      <c r="D5" t="s">
        <v>415</v>
      </c>
    </row>
    <row r="6" spans="2:4" x14ac:dyDescent="0.25">
      <c r="B6" t="s">
        <v>57</v>
      </c>
      <c r="C6" t="s">
        <v>57</v>
      </c>
      <c r="D6" t="s">
        <v>415</v>
      </c>
    </row>
    <row r="7" spans="2:4" x14ac:dyDescent="0.25">
      <c r="B7" t="s">
        <v>181</v>
      </c>
      <c r="C7" t="s">
        <v>246</v>
      </c>
      <c r="D7" t="s">
        <v>416</v>
      </c>
    </row>
    <row r="8" spans="2:4" x14ac:dyDescent="0.25">
      <c r="B8" t="s">
        <v>182</v>
      </c>
      <c r="C8" t="s">
        <v>247</v>
      </c>
      <c r="D8" t="s">
        <v>416</v>
      </c>
    </row>
    <row r="9" spans="2:4" x14ac:dyDescent="0.25">
      <c r="B9" t="s">
        <v>183</v>
      </c>
      <c r="C9" t="s">
        <v>248</v>
      </c>
      <c r="D9" t="s">
        <v>417</v>
      </c>
    </row>
    <row r="10" spans="2:4" x14ac:dyDescent="0.25">
      <c r="B10" t="s">
        <v>184</v>
      </c>
      <c r="C10" t="s">
        <v>249</v>
      </c>
      <c r="D10" t="s">
        <v>416</v>
      </c>
    </row>
    <row r="11" spans="2:4" x14ac:dyDescent="0.25">
      <c r="B11" t="s">
        <v>185</v>
      </c>
      <c r="C11" t="s">
        <v>250</v>
      </c>
      <c r="D11" t="s">
        <v>418</v>
      </c>
    </row>
    <row r="12" spans="2:4" x14ac:dyDescent="0.25">
      <c r="B12" t="s">
        <v>186</v>
      </c>
      <c r="C12" t="s">
        <v>251</v>
      </c>
      <c r="D12" t="s">
        <v>416</v>
      </c>
    </row>
    <row r="13" spans="2:4" x14ac:dyDescent="0.25">
      <c r="B13" t="s">
        <v>187</v>
      </c>
      <c r="C13" t="s">
        <v>252</v>
      </c>
      <c r="D13" t="s">
        <v>419</v>
      </c>
    </row>
    <row r="14" spans="2:4" x14ac:dyDescent="0.25">
      <c r="B14" t="s">
        <v>188</v>
      </c>
      <c r="C14" t="s">
        <v>253</v>
      </c>
      <c r="D14" t="s">
        <v>416</v>
      </c>
    </row>
    <row r="15" spans="2:4" x14ac:dyDescent="0.25">
      <c r="B15" t="s">
        <v>189</v>
      </c>
      <c r="C15" t="s">
        <v>254</v>
      </c>
      <c r="D15" t="s">
        <v>416</v>
      </c>
    </row>
    <row r="16" spans="2:4" x14ac:dyDescent="0.25">
      <c r="B16" t="s">
        <v>190</v>
      </c>
      <c r="C16" t="s">
        <v>255</v>
      </c>
      <c r="D16" t="s">
        <v>416</v>
      </c>
    </row>
    <row r="17" spans="2:4" x14ac:dyDescent="0.25">
      <c r="B17" t="s">
        <v>62</v>
      </c>
      <c r="C17" t="s">
        <v>62</v>
      </c>
      <c r="D17" t="s">
        <v>403</v>
      </c>
    </row>
    <row r="18" spans="2:4" x14ac:dyDescent="0.25">
      <c r="B18" t="s">
        <v>63</v>
      </c>
      <c r="C18" t="s">
        <v>63</v>
      </c>
      <c r="D18" t="s">
        <v>403</v>
      </c>
    </row>
    <row r="19" spans="2:4" x14ac:dyDescent="0.25">
      <c r="B19" t="s">
        <v>64</v>
      </c>
      <c r="C19" t="s">
        <v>64</v>
      </c>
      <c r="D19" t="s">
        <v>399</v>
      </c>
    </row>
    <row r="20" spans="2:4" x14ac:dyDescent="0.25">
      <c r="B20" t="s">
        <v>65</v>
      </c>
      <c r="C20" t="s">
        <v>65</v>
      </c>
      <c r="D20" t="s">
        <v>412</v>
      </c>
    </row>
    <row r="21" spans="2:4" x14ac:dyDescent="0.25">
      <c r="B21" t="s">
        <v>67</v>
      </c>
      <c r="C21" t="s">
        <v>256</v>
      </c>
      <c r="D21" t="s">
        <v>420</v>
      </c>
    </row>
    <row r="22" spans="2:4" x14ac:dyDescent="0.25">
      <c r="B22" t="s">
        <v>191</v>
      </c>
      <c r="C22" t="s">
        <v>257</v>
      </c>
      <c r="D22" t="s">
        <v>416</v>
      </c>
    </row>
    <row r="23" spans="2:4" x14ac:dyDescent="0.25">
      <c r="B23" t="s">
        <v>192</v>
      </c>
      <c r="C23" t="s">
        <v>258</v>
      </c>
      <c r="D23" t="s">
        <v>416</v>
      </c>
    </row>
    <row r="24" spans="2:4" x14ac:dyDescent="0.25">
      <c r="B24" t="s">
        <v>193</v>
      </c>
      <c r="C24" t="s">
        <v>259</v>
      </c>
      <c r="D24" t="s">
        <v>416</v>
      </c>
    </row>
    <row r="25" spans="2:4" x14ac:dyDescent="0.25">
      <c r="B25" t="s">
        <v>194</v>
      </c>
      <c r="C25" t="s">
        <v>260</v>
      </c>
      <c r="D25" t="s">
        <v>418</v>
      </c>
    </row>
    <row r="26" spans="2:4" x14ac:dyDescent="0.25">
      <c r="B26" t="s">
        <v>195</v>
      </c>
      <c r="C26" t="s">
        <v>261</v>
      </c>
      <c r="D26" t="s">
        <v>417</v>
      </c>
    </row>
    <row r="27" spans="2:4" x14ac:dyDescent="0.25">
      <c r="B27" t="s">
        <v>196</v>
      </c>
      <c r="C27" t="s">
        <v>262</v>
      </c>
      <c r="D27" t="s">
        <v>421</v>
      </c>
    </row>
    <row r="28" spans="2:4" x14ac:dyDescent="0.25">
      <c r="B28" t="s">
        <v>197</v>
      </c>
      <c r="C28" t="s">
        <v>263</v>
      </c>
      <c r="D28" t="s">
        <v>416</v>
      </c>
    </row>
    <row r="29" spans="2:4" x14ac:dyDescent="0.25">
      <c r="B29" t="s">
        <v>198</v>
      </c>
      <c r="C29" t="s">
        <v>264</v>
      </c>
      <c r="D29" t="s">
        <v>416</v>
      </c>
    </row>
    <row r="30" spans="2:4" x14ac:dyDescent="0.25">
      <c r="B30" t="s">
        <v>199</v>
      </c>
      <c r="C30" t="s">
        <v>265</v>
      </c>
      <c r="D30" t="s">
        <v>416</v>
      </c>
    </row>
    <row r="31" spans="2:4" x14ac:dyDescent="0.25">
      <c r="B31" t="s">
        <v>200</v>
      </c>
      <c r="C31" t="s">
        <v>266</v>
      </c>
      <c r="D31" t="s">
        <v>418</v>
      </c>
    </row>
    <row r="32" spans="2:4" x14ac:dyDescent="0.25">
      <c r="B32" t="s">
        <v>201</v>
      </c>
      <c r="C32" t="s">
        <v>267</v>
      </c>
      <c r="D32" t="s">
        <v>416</v>
      </c>
    </row>
    <row r="33" spans="1:4" x14ac:dyDescent="0.25">
      <c r="B33" t="s">
        <v>202</v>
      </c>
      <c r="C33" t="s">
        <v>268</v>
      </c>
      <c r="D33" t="s">
        <v>416</v>
      </c>
    </row>
    <row r="34" spans="1:4" x14ac:dyDescent="0.25">
      <c r="B34" t="s">
        <v>203</v>
      </c>
      <c r="C34" t="s">
        <v>269</v>
      </c>
      <c r="D34" t="s">
        <v>416</v>
      </c>
    </row>
    <row r="35" spans="1:4" x14ac:dyDescent="0.25">
      <c r="B35" t="s">
        <v>204</v>
      </c>
      <c r="C35" t="s">
        <v>270</v>
      </c>
      <c r="D35" t="s">
        <v>416</v>
      </c>
    </row>
    <row r="36" spans="1:4" x14ac:dyDescent="0.25">
      <c r="B36" t="s">
        <v>205</v>
      </c>
      <c r="C36" t="s">
        <v>271</v>
      </c>
      <c r="D36" t="s">
        <v>416</v>
      </c>
    </row>
    <row r="37" spans="1:4" x14ac:dyDescent="0.25">
      <c r="B37" t="s">
        <v>206</v>
      </c>
      <c r="C37" t="s">
        <v>272</v>
      </c>
      <c r="D37" t="s">
        <v>416</v>
      </c>
    </row>
    <row r="38" spans="1:4" x14ac:dyDescent="0.25">
      <c r="B38" t="s">
        <v>207</v>
      </c>
      <c r="C38" t="s">
        <v>273</v>
      </c>
      <c r="D38" t="s">
        <v>422</v>
      </c>
    </row>
    <row r="39" spans="1:4" x14ac:dyDescent="0.25">
      <c r="B39" t="s">
        <v>208</v>
      </c>
      <c r="C39" t="s">
        <v>274</v>
      </c>
      <c r="D39" t="s">
        <v>423</v>
      </c>
    </row>
    <row r="40" spans="1:4" x14ac:dyDescent="0.25">
      <c r="A40" s="2"/>
      <c r="B40" t="s">
        <v>209</v>
      </c>
      <c r="C40" t="s">
        <v>275</v>
      </c>
      <c r="D40" s="2" t="s">
        <v>424</v>
      </c>
    </row>
    <row r="41" spans="1:4" x14ac:dyDescent="0.25">
      <c r="B41" t="s">
        <v>53</v>
      </c>
      <c r="C41" t="s">
        <v>276</v>
      </c>
      <c r="D41" t="s">
        <v>425</v>
      </c>
    </row>
    <row r="42" spans="1:4" x14ac:dyDescent="0.25">
      <c r="B42" t="s">
        <v>58</v>
      </c>
      <c r="C42" t="s">
        <v>58</v>
      </c>
      <c r="D42" t="s">
        <v>426</v>
      </c>
    </row>
    <row r="43" spans="1:4" x14ac:dyDescent="0.25">
      <c r="B43" s="2" t="s">
        <v>59</v>
      </c>
      <c r="C43" t="s">
        <v>59</v>
      </c>
      <c r="D43" t="s">
        <v>414</v>
      </c>
    </row>
    <row r="44" spans="1:4" x14ac:dyDescent="0.25">
      <c r="B44" t="s">
        <v>60</v>
      </c>
      <c r="C44" t="s">
        <v>60</v>
      </c>
      <c r="D44" t="s">
        <v>427</v>
      </c>
    </row>
    <row r="45" spans="1:4" x14ac:dyDescent="0.25">
      <c r="B45" t="s">
        <v>61</v>
      </c>
      <c r="C45" t="s">
        <v>61</v>
      </c>
      <c r="D45" t="s">
        <v>428</v>
      </c>
    </row>
    <row r="46" spans="1:4" x14ac:dyDescent="0.25">
      <c r="B46" t="s">
        <v>210</v>
      </c>
      <c r="C46" t="s">
        <v>277</v>
      </c>
      <c r="D46" t="s">
        <v>429</v>
      </c>
    </row>
    <row r="47" spans="1:4" x14ac:dyDescent="0.25">
      <c r="B47" t="s">
        <v>211</v>
      </c>
      <c r="C47" t="s">
        <v>278</v>
      </c>
      <c r="D47" t="s">
        <v>430</v>
      </c>
    </row>
    <row r="48" spans="1:4" x14ac:dyDescent="0.25">
      <c r="B48" t="s">
        <v>70</v>
      </c>
      <c r="C48" t="s">
        <v>70</v>
      </c>
      <c r="D48" t="s">
        <v>431</v>
      </c>
    </row>
    <row r="49" spans="2:4" x14ac:dyDescent="0.25">
      <c r="B49" t="s">
        <v>71</v>
      </c>
      <c r="C49" t="s">
        <v>279</v>
      </c>
      <c r="D49" t="s">
        <v>430</v>
      </c>
    </row>
    <row r="50" spans="2:4" x14ac:dyDescent="0.25">
      <c r="B50" t="s">
        <v>72</v>
      </c>
      <c r="C50" t="s">
        <v>72</v>
      </c>
      <c r="D50" t="s">
        <v>416</v>
      </c>
    </row>
    <row r="51" spans="2:4" x14ac:dyDescent="0.25">
      <c r="B51" t="s">
        <v>73</v>
      </c>
      <c r="C51" t="s">
        <v>73</v>
      </c>
      <c r="D51" t="s">
        <v>432</v>
      </c>
    </row>
    <row r="52" spans="2:4" x14ac:dyDescent="0.25">
      <c r="B52" t="s">
        <v>74</v>
      </c>
      <c r="C52" t="s">
        <v>74</v>
      </c>
      <c r="D52" t="s">
        <v>415</v>
      </c>
    </row>
    <row r="53" spans="2:4" x14ac:dyDescent="0.25">
      <c r="B53" t="s">
        <v>75</v>
      </c>
      <c r="C53" t="s">
        <v>75</v>
      </c>
      <c r="D53" t="s">
        <v>433</v>
      </c>
    </row>
    <row r="54" spans="2:4" x14ac:dyDescent="0.25">
      <c r="B54" t="s">
        <v>76</v>
      </c>
      <c r="C54" t="s">
        <v>76</v>
      </c>
      <c r="D54" t="s">
        <v>433</v>
      </c>
    </row>
    <row r="55" spans="2:4" x14ac:dyDescent="0.25">
      <c r="B55" t="s">
        <v>77</v>
      </c>
      <c r="C55" t="s">
        <v>77</v>
      </c>
      <c r="D55" t="s">
        <v>434</v>
      </c>
    </row>
    <row r="56" spans="2:4" x14ac:dyDescent="0.25">
      <c r="B56" t="s">
        <v>78</v>
      </c>
      <c r="C56" t="s">
        <v>78</v>
      </c>
      <c r="D56" t="s">
        <v>435</v>
      </c>
    </row>
    <row r="57" spans="2:4" x14ac:dyDescent="0.25">
      <c r="B57" t="s">
        <v>79</v>
      </c>
      <c r="C57" t="s">
        <v>79</v>
      </c>
      <c r="D57" t="s">
        <v>436</v>
      </c>
    </row>
    <row r="58" spans="2:4" x14ac:dyDescent="0.25">
      <c r="B58" t="s">
        <v>80</v>
      </c>
      <c r="C58" t="s">
        <v>80</v>
      </c>
      <c r="D58" t="s">
        <v>437</v>
      </c>
    </row>
    <row r="59" spans="2:4" x14ac:dyDescent="0.25">
      <c r="B59" t="s">
        <v>83</v>
      </c>
      <c r="C59" t="s">
        <v>83</v>
      </c>
      <c r="D59" t="s">
        <v>438</v>
      </c>
    </row>
    <row r="60" spans="2:4" x14ac:dyDescent="0.25">
      <c r="B60" t="s">
        <v>84</v>
      </c>
      <c r="C60" t="s">
        <v>84</v>
      </c>
      <c r="D60" t="s">
        <v>414</v>
      </c>
    </row>
    <row r="61" spans="2:4" x14ac:dyDescent="0.25">
      <c r="B61" t="s">
        <v>85</v>
      </c>
      <c r="C61" t="s">
        <v>280</v>
      </c>
      <c r="D61" t="s">
        <v>439</v>
      </c>
    </row>
    <row r="62" spans="2:4" x14ac:dyDescent="0.25">
      <c r="B62" t="s">
        <v>86</v>
      </c>
      <c r="C62" t="s">
        <v>281</v>
      </c>
      <c r="D62" t="s">
        <v>420</v>
      </c>
    </row>
    <row r="63" spans="2:4" x14ac:dyDescent="0.25">
      <c r="B63" t="s">
        <v>103</v>
      </c>
      <c r="C63" t="s">
        <v>282</v>
      </c>
      <c r="D63" t="s">
        <v>416</v>
      </c>
    </row>
    <row r="64" spans="2:4" x14ac:dyDescent="0.25">
      <c r="B64" t="s">
        <v>212</v>
      </c>
      <c r="C64" t="s">
        <v>283</v>
      </c>
      <c r="D64" t="s">
        <v>419</v>
      </c>
    </row>
    <row r="65" spans="2:4" x14ac:dyDescent="0.25">
      <c r="B65">
        <v>1</v>
      </c>
      <c r="C65" t="s">
        <v>334</v>
      </c>
      <c r="D65" t="s">
        <v>416</v>
      </c>
    </row>
    <row r="66" spans="2:4" x14ac:dyDescent="0.25">
      <c r="B66" t="s">
        <v>106</v>
      </c>
      <c r="C66" t="s">
        <v>335</v>
      </c>
      <c r="D66" t="s">
        <v>416</v>
      </c>
    </row>
    <row r="67" spans="2:4" x14ac:dyDescent="0.25">
      <c r="B67" t="s">
        <v>213</v>
      </c>
      <c r="C67" t="s">
        <v>284</v>
      </c>
      <c r="D67" t="s">
        <v>419</v>
      </c>
    </row>
    <row r="68" spans="2:4" x14ac:dyDescent="0.25">
      <c r="B68" t="s">
        <v>214</v>
      </c>
      <c r="C68" t="s">
        <v>285</v>
      </c>
      <c r="D68" t="s">
        <v>419</v>
      </c>
    </row>
    <row r="69" spans="2:4" x14ac:dyDescent="0.25">
      <c r="B69" t="s">
        <v>215</v>
      </c>
      <c r="C69" t="s">
        <v>286</v>
      </c>
      <c r="D69" t="s">
        <v>440</v>
      </c>
    </row>
    <row r="70" spans="2:4" x14ac:dyDescent="0.25">
      <c r="B70" t="s">
        <v>111</v>
      </c>
      <c r="C70" t="s">
        <v>111</v>
      </c>
      <c r="D70" t="s">
        <v>431</v>
      </c>
    </row>
    <row r="71" spans="2:4" x14ac:dyDescent="0.25">
      <c r="B71" t="s">
        <v>216</v>
      </c>
      <c r="C71" t="s">
        <v>287</v>
      </c>
      <c r="D71" t="s">
        <v>441</v>
      </c>
    </row>
    <row r="72" spans="2:4" x14ac:dyDescent="0.25">
      <c r="B72" t="s">
        <v>217</v>
      </c>
      <c r="C72" t="s">
        <v>288</v>
      </c>
      <c r="D72" t="s">
        <v>419</v>
      </c>
    </row>
    <row r="73" spans="2:4" x14ac:dyDescent="0.25">
      <c r="B73" t="s">
        <v>115</v>
      </c>
      <c r="C73" t="s">
        <v>289</v>
      </c>
      <c r="D73" t="s">
        <v>425</v>
      </c>
    </row>
    <row r="74" spans="2:4" x14ac:dyDescent="0.25">
      <c r="B74" t="s">
        <v>116</v>
      </c>
      <c r="C74" t="s">
        <v>290</v>
      </c>
      <c r="D74" t="s">
        <v>425</v>
      </c>
    </row>
    <row r="75" spans="2:4" x14ac:dyDescent="0.25">
      <c r="B75" t="s">
        <v>117</v>
      </c>
      <c r="C75" t="s">
        <v>291</v>
      </c>
      <c r="D75" t="s">
        <v>425</v>
      </c>
    </row>
    <row r="76" spans="2:4" x14ac:dyDescent="0.25">
      <c r="B76" t="s">
        <v>118</v>
      </c>
      <c r="C76" t="s">
        <v>118</v>
      </c>
      <c r="D76" t="s">
        <v>425</v>
      </c>
    </row>
    <row r="77" spans="2:4" x14ac:dyDescent="0.25">
      <c r="B77" t="s">
        <v>119</v>
      </c>
      <c r="C77" t="s">
        <v>292</v>
      </c>
      <c r="D77" t="s">
        <v>427</v>
      </c>
    </row>
    <row r="78" spans="2:4" x14ac:dyDescent="0.25">
      <c r="B78" t="s">
        <v>120</v>
      </c>
      <c r="C78" t="s">
        <v>293</v>
      </c>
      <c r="D78" t="s">
        <v>442</v>
      </c>
    </row>
    <row r="79" spans="2:4" x14ac:dyDescent="0.25">
      <c r="B79" t="s">
        <v>121</v>
      </c>
      <c r="C79" t="s">
        <v>294</v>
      </c>
      <c r="D79" t="s">
        <v>428</v>
      </c>
    </row>
    <row r="80" spans="2:4" x14ac:dyDescent="0.25">
      <c r="B80" t="s">
        <v>122</v>
      </c>
      <c r="C80" t="s">
        <v>295</v>
      </c>
      <c r="D80" t="s">
        <v>425</v>
      </c>
    </row>
    <row r="81" spans="2:4" x14ac:dyDescent="0.25">
      <c r="B81" t="s">
        <v>123</v>
      </c>
      <c r="C81" t="s">
        <v>296</v>
      </c>
      <c r="D81" t="s">
        <v>443</v>
      </c>
    </row>
    <row r="82" spans="2:4" x14ac:dyDescent="0.25">
      <c r="B82" t="s">
        <v>218</v>
      </c>
      <c r="C82" t="s">
        <v>297</v>
      </c>
      <c r="D82" t="s">
        <v>444</v>
      </c>
    </row>
    <row r="83" spans="2:4" x14ac:dyDescent="0.25">
      <c r="B83" t="s">
        <v>219</v>
      </c>
      <c r="C83" t="s">
        <v>298</v>
      </c>
      <c r="D83" t="s">
        <v>423</v>
      </c>
    </row>
    <row r="84" spans="2:4" x14ac:dyDescent="0.25">
      <c r="B84" t="s">
        <v>220</v>
      </c>
      <c r="C84" t="s">
        <v>299</v>
      </c>
      <c r="D84" t="s">
        <v>445</v>
      </c>
    </row>
    <row r="85" spans="2:4" x14ac:dyDescent="0.25">
      <c r="B85" t="s">
        <v>127</v>
      </c>
      <c r="C85" t="s">
        <v>300</v>
      </c>
      <c r="D85" t="s">
        <v>418</v>
      </c>
    </row>
    <row r="86" spans="2:4" x14ac:dyDescent="0.25">
      <c r="B86" t="s">
        <v>221</v>
      </c>
      <c r="C86" t="s">
        <v>301</v>
      </c>
      <c r="D86" t="s">
        <v>446</v>
      </c>
    </row>
    <row r="87" spans="2:4" x14ac:dyDescent="0.25">
      <c r="B87" t="s">
        <v>128</v>
      </c>
      <c r="C87" t="s">
        <v>302</v>
      </c>
      <c r="D87" t="s">
        <v>418</v>
      </c>
    </row>
    <row r="88" spans="2:4" x14ac:dyDescent="0.25">
      <c r="B88" t="s">
        <v>222</v>
      </c>
      <c r="C88" t="s">
        <v>303</v>
      </c>
      <c r="D88" t="s">
        <v>417</v>
      </c>
    </row>
    <row r="89" spans="2:4" x14ac:dyDescent="0.25">
      <c r="B89" t="s">
        <v>131</v>
      </c>
      <c r="C89" t="s">
        <v>304</v>
      </c>
      <c r="D89" t="s">
        <v>447</v>
      </c>
    </row>
    <row r="90" spans="2:4" x14ac:dyDescent="0.25">
      <c r="B90" t="s">
        <v>132</v>
      </c>
      <c r="C90" t="s">
        <v>305</v>
      </c>
      <c r="D90" t="s">
        <v>431</v>
      </c>
    </row>
    <row r="91" spans="2:4" x14ac:dyDescent="0.25">
      <c r="B91" t="s">
        <v>133</v>
      </c>
      <c r="C91" t="s">
        <v>306</v>
      </c>
      <c r="D91" t="s">
        <v>416</v>
      </c>
    </row>
    <row r="92" spans="2:4" x14ac:dyDescent="0.25">
      <c r="B92" t="s">
        <v>223</v>
      </c>
      <c r="C92" t="s">
        <v>307</v>
      </c>
      <c r="D92" t="s">
        <v>446</v>
      </c>
    </row>
    <row r="93" spans="2:4" x14ac:dyDescent="0.25">
      <c r="B93" t="s">
        <v>224</v>
      </c>
      <c r="C93" t="s">
        <v>308</v>
      </c>
      <c r="D93" t="s">
        <v>448</v>
      </c>
    </row>
    <row r="94" spans="2:4" x14ac:dyDescent="0.25">
      <c r="B94" t="s">
        <v>225</v>
      </c>
      <c r="C94" t="s">
        <v>309</v>
      </c>
      <c r="D94" t="s">
        <v>417</v>
      </c>
    </row>
    <row r="95" spans="2:4" x14ac:dyDescent="0.25">
      <c r="B95" t="s">
        <v>226</v>
      </c>
      <c r="C95" t="s">
        <v>310</v>
      </c>
      <c r="D95" t="s">
        <v>417</v>
      </c>
    </row>
    <row r="96" spans="2:4" x14ac:dyDescent="0.25">
      <c r="B96" t="s">
        <v>227</v>
      </c>
      <c r="C96" t="s">
        <v>227</v>
      </c>
      <c r="D96" t="s">
        <v>418</v>
      </c>
    </row>
    <row r="97" spans="2:4" x14ac:dyDescent="0.25">
      <c r="B97" t="s">
        <v>228</v>
      </c>
      <c r="C97" t="s">
        <v>228</v>
      </c>
      <c r="D97" t="s">
        <v>419</v>
      </c>
    </row>
    <row r="98" spans="2:4" x14ac:dyDescent="0.25">
      <c r="B98" t="s">
        <v>229</v>
      </c>
      <c r="C98" t="s">
        <v>311</v>
      </c>
      <c r="D98" t="s">
        <v>446</v>
      </c>
    </row>
    <row r="99" spans="2:4" x14ac:dyDescent="0.25">
      <c r="B99" t="s">
        <v>230</v>
      </c>
      <c r="C99" t="s">
        <v>312</v>
      </c>
      <c r="D99" t="s">
        <v>446</v>
      </c>
    </row>
    <row r="100" spans="2:4" x14ac:dyDescent="0.25">
      <c r="B100" t="s">
        <v>231</v>
      </c>
      <c r="C100" t="s">
        <v>313</v>
      </c>
      <c r="D100" t="s">
        <v>419</v>
      </c>
    </row>
    <row r="101" spans="2:4" x14ac:dyDescent="0.25">
      <c r="B101" t="s">
        <v>232</v>
      </c>
      <c r="C101" t="s">
        <v>314</v>
      </c>
      <c r="D101" t="s">
        <v>449</v>
      </c>
    </row>
    <row r="102" spans="2:4" x14ac:dyDescent="0.25">
      <c r="B102" t="s">
        <v>233</v>
      </c>
      <c r="C102" t="s">
        <v>316</v>
      </c>
      <c r="D102" t="s">
        <v>450</v>
      </c>
    </row>
    <row r="103" spans="2:4" x14ac:dyDescent="0.25">
      <c r="B103" t="s">
        <v>234</v>
      </c>
      <c r="C103" t="s">
        <v>234</v>
      </c>
      <c r="D103" t="s">
        <v>416</v>
      </c>
    </row>
    <row r="104" spans="2:4" x14ac:dyDescent="0.25">
      <c r="B104" t="s">
        <v>235</v>
      </c>
      <c r="C104" t="s">
        <v>317</v>
      </c>
      <c r="D104" t="s">
        <v>416</v>
      </c>
    </row>
    <row r="105" spans="2:4" x14ac:dyDescent="0.25">
      <c r="B105" t="s">
        <v>145</v>
      </c>
      <c r="C105" t="s">
        <v>318</v>
      </c>
      <c r="D105" t="s">
        <v>439</v>
      </c>
    </row>
    <row r="106" spans="2:4" x14ac:dyDescent="0.25">
      <c r="B106" t="s">
        <v>236</v>
      </c>
      <c r="C106" t="s">
        <v>319</v>
      </c>
      <c r="D106" t="s">
        <v>451</v>
      </c>
    </row>
    <row r="107" spans="2:4" x14ac:dyDescent="0.25">
      <c r="B107" t="s">
        <v>237</v>
      </c>
      <c r="C107" t="s">
        <v>320</v>
      </c>
      <c r="D107" t="s">
        <v>452</v>
      </c>
    </row>
    <row r="108" spans="2:4" x14ac:dyDescent="0.25">
      <c r="B108" t="s">
        <v>238</v>
      </c>
      <c r="C108" t="s">
        <v>238</v>
      </c>
      <c r="D108" t="s">
        <v>427</v>
      </c>
    </row>
    <row r="109" spans="2:4" x14ac:dyDescent="0.25">
      <c r="B109" t="s">
        <v>239</v>
      </c>
      <c r="C109" t="s">
        <v>239</v>
      </c>
      <c r="D109" t="s">
        <v>440</v>
      </c>
    </row>
    <row r="110" spans="2:4" x14ac:dyDescent="0.25">
      <c r="B110" t="s">
        <v>240</v>
      </c>
      <c r="C110" t="s">
        <v>321</v>
      </c>
      <c r="D110" t="s">
        <v>447</v>
      </c>
    </row>
    <row r="111" spans="2:4" x14ac:dyDescent="0.25">
      <c r="B111" t="s">
        <v>241</v>
      </c>
      <c r="C111" t="s">
        <v>322</v>
      </c>
      <c r="D111" t="s">
        <v>453</v>
      </c>
    </row>
    <row r="112" spans="2:4" x14ac:dyDescent="0.25">
      <c r="B112" t="s">
        <v>242</v>
      </c>
      <c r="C112" t="s">
        <v>323</v>
      </c>
      <c r="D112" t="s">
        <v>454</v>
      </c>
    </row>
    <row r="113" spans="2:4" x14ac:dyDescent="0.25">
      <c r="B113" t="s">
        <v>243</v>
      </c>
      <c r="C113" t="s">
        <v>324</v>
      </c>
      <c r="D113" t="s">
        <v>446</v>
      </c>
    </row>
    <row r="114" spans="2:4" x14ac:dyDescent="0.25">
      <c r="B114" t="s">
        <v>244</v>
      </c>
      <c r="C114" t="s">
        <v>325</v>
      </c>
      <c r="D114" t="s">
        <v>445</v>
      </c>
    </row>
    <row r="115" spans="2:4" x14ac:dyDescent="0.25">
      <c r="B115" t="s">
        <v>245</v>
      </c>
      <c r="C115" t="s">
        <v>326</v>
      </c>
      <c r="D115" t="s">
        <v>455</v>
      </c>
    </row>
    <row r="220" spans="2:2" x14ac:dyDescent="0.25">
      <c r="B220" s="3"/>
    </row>
  </sheetData>
  <autoFilter ref="B2:C373" xr:uid="{68BC0598-65FA-41BB-8CED-4CDE845E687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0E53-D158-45E1-BF8C-90619D1523A7}">
  <dimension ref="B1:D111"/>
  <sheetViews>
    <sheetView topLeftCell="A27" workbookViewId="0">
      <selection activeCell="B108" sqref="B108"/>
    </sheetView>
  </sheetViews>
  <sheetFormatPr baseColWidth="10" defaultRowHeight="15" x14ac:dyDescent="0.25"/>
  <sheetData>
    <row r="1" spans="2:4" x14ac:dyDescent="0.25">
      <c r="B1" t="s">
        <v>391</v>
      </c>
      <c r="C1" t="s">
        <v>392</v>
      </c>
    </row>
    <row r="2" spans="2:4" x14ac:dyDescent="0.25">
      <c r="B2">
        <v>640852805</v>
      </c>
      <c r="C2" t="s">
        <v>27</v>
      </c>
      <c r="D2">
        <f>VLOOKUP(B2,Hoja5!$A$2:$E$95,2,FALSE)</f>
        <v>78</v>
      </c>
    </row>
    <row r="3" spans="2:4" x14ac:dyDescent="0.25">
      <c r="B3">
        <v>640852806</v>
      </c>
      <c r="C3" t="s">
        <v>28</v>
      </c>
      <c r="D3">
        <f>VLOOKUP(B3,Hoja5!$A$2:$E$95,2,FALSE)</f>
        <v>79</v>
      </c>
    </row>
    <row r="4" spans="2:4" x14ac:dyDescent="0.25">
      <c r="B4">
        <v>640852806</v>
      </c>
      <c r="C4" t="s">
        <v>28</v>
      </c>
      <c r="D4">
        <f>VLOOKUP(B4,Hoja5!$A$2:$E$95,2,FALSE)</f>
        <v>79</v>
      </c>
    </row>
    <row r="5" spans="2:4" x14ac:dyDescent="0.25">
      <c r="B5">
        <v>640852806</v>
      </c>
      <c r="C5" t="s">
        <v>28</v>
      </c>
      <c r="D5">
        <f>VLOOKUP(B5,Hoja5!$A$2:$E$95,2,FALSE)</f>
        <v>79</v>
      </c>
    </row>
    <row r="6" spans="2:4" x14ac:dyDescent="0.25">
      <c r="B6">
        <v>640852806</v>
      </c>
      <c r="C6" t="s">
        <v>28</v>
      </c>
      <c r="D6">
        <f>VLOOKUP(B6,Hoja5!$A$2:$E$95,2,FALSE)</f>
        <v>79</v>
      </c>
    </row>
    <row r="7" spans="2:4" x14ac:dyDescent="0.25">
      <c r="B7">
        <v>640852818</v>
      </c>
      <c r="C7" t="s">
        <v>29</v>
      </c>
      <c r="D7">
        <f>VLOOKUP(B7,Hoja5!$A$2:$E$95,2,FALSE)</f>
        <v>72</v>
      </c>
    </row>
    <row r="8" spans="2:4" x14ac:dyDescent="0.25">
      <c r="B8">
        <v>640852818</v>
      </c>
      <c r="C8" t="s">
        <v>29</v>
      </c>
      <c r="D8">
        <f>VLOOKUP(B8,Hoja5!$A$2:$E$95,2,FALSE)</f>
        <v>72</v>
      </c>
    </row>
    <row r="9" spans="2:4" x14ac:dyDescent="0.25">
      <c r="B9">
        <v>640853826</v>
      </c>
      <c r="C9" t="s">
        <v>30</v>
      </c>
      <c r="D9">
        <f>VLOOKUP(B9,Hoja5!$A$2:$E$95,2,FALSE)</f>
        <v>73</v>
      </c>
    </row>
    <row r="10" spans="2:4" x14ac:dyDescent="0.25">
      <c r="B10">
        <v>640853826</v>
      </c>
      <c r="C10" t="s">
        <v>30</v>
      </c>
      <c r="D10">
        <f>VLOOKUP(B10,Hoja5!$A$2:$E$95,2,FALSE)</f>
        <v>73</v>
      </c>
    </row>
    <row r="11" spans="2:4" x14ac:dyDescent="0.25">
      <c r="B11">
        <v>640853827</v>
      </c>
      <c r="C11" t="s">
        <v>30</v>
      </c>
      <c r="D11">
        <f>VLOOKUP(B11,Hoja5!$A$2:$E$95,2,FALSE)</f>
        <v>74</v>
      </c>
    </row>
    <row r="12" spans="2:4" x14ac:dyDescent="0.25">
      <c r="B12">
        <v>640853827</v>
      </c>
      <c r="C12" t="s">
        <v>30</v>
      </c>
      <c r="D12">
        <f>VLOOKUP(B12,Hoja5!$A$2:$E$95,2,FALSE)</f>
        <v>74</v>
      </c>
    </row>
    <row r="13" spans="2:4" x14ac:dyDescent="0.25">
      <c r="B13">
        <v>640853827</v>
      </c>
      <c r="C13" t="s">
        <v>30</v>
      </c>
      <c r="D13">
        <f>VLOOKUP(B13,Hoja5!$A$2:$E$95,2,FALSE)</f>
        <v>74</v>
      </c>
    </row>
    <row r="14" spans="2:4" x14ac:dyDescent="0.25">
      <c r="B14">
        <v>640853827</v>
      </c>
      <c r="C14" t="s">
        <v>30</v>
      </c>
      <c r="D14">
        <f>VLOOKUP(B14,Hoja5!$A$2:$E$95,2,FALSE)</f>
        <v>74</v>
      </c>
    </row>
    <row r="15" spans="2:4" x14ac:dyDescent="0.25">
      <c r="B15">
        <v>640852811</v>
      </c>
      <c r="C15" t="s">
        <v>31</v>
      </c>
      <c r="D15">
        <f>VLOOKUP(B15,Hoja5!$A$2:$E$95,2,FALSE)</f>
        <v>64</v>
      </c>
    </row>
    <row r="16" spans="2:4" x14ac:dyDescent="0.25">
      <c r="B16">
        <v>640852804</v>
      </c>
      <c r="C16" t="s">
        <v>32</v>
      </c>
      <c r="D16">
        <f>VLOOKUP(B16,Hoja5!$A$2:$E$95,2,FALSE)</f>
        <v>99</v>
      </c>
    </row>
    <row r="17" spans="2:4" x14ac:dyDescent="0.25">
      <c r="B17">
        <v>640852811</v>
      </c>
      <c r="C17" t="s">
        <v>31</v>
      </c>
      <c r="D17">
        <f>VLOOKUP(B17,Hoja5!$A$2:$E$95,2,FALSE)</f>
        <v>64</v>
      </c>
    </row>
    <row r="18" spans="2:4" x14ac:dyDescent="0.25">
      <c r="B18">
        <v>640852811</v>
      </c>
      <c r="C18" t="s">
        <v>31</v>
      </c>
      <c r="D18">
        <f>VLOOKUP(B18,Hoja5!$A$2:$E$95,2,FALSE)</f>
        <v>64</v>
      </c>
    </row>
    <row r="19" spans="2:4" x14ac:dyDescent="0.25">
      <c r="B19">
        <v>640852821</v>
      </c>
      <c r="C19" t="s">
        <v>33</v>
      </c>
      <c r="D19">
        <f>VLOOKUP(B19,Hoja5!$A$2:$E$95,2,FALSE)</f>
        <v>55</v>
      </c>
    </row>
    <row r="20" spans="2:4" x14ac:dyDescent="0.25">
      <c r="B20">
        <v>640852822</v>
      </c>
      <c r="C20" t="s">
        <v>34</v>
      </c>
      <c r="D20">
        <f>VLOOKUP(B20,Hoja5!$A$2:$E$95,2,FALSE)</f>
        <v>69</v>
      </c>
    </row>
    <row r="21" spans="2:4" x14ac:dyDescent="0.25">
      <c r="B21">
        <v>640851807</v>
      </c>
      <c r="C21" t="s">
        <v>35</v>
      </c>
      <c r="D21">
        <f>VLOOKUP(B21,Hoja5!$A$2:$E$95,2,FALSE)</f>
        <v>60</v>
      </c>
    </row>
    <row r="22" spans="2:4" x14ac:dyDescent="0.25">
      <c r="B22">
        <v>640852824</v>
      </c>
      <c r="C22" t="s">
        <v>36</v>
      </c>
      <c r="D22">
        <f>VLOOKUP(B22,Hoja5!$A$2:$E$95,2,FALSE)</f>
        <v>56</v>
      </c>
    </row>
    <row r="23" spans="2:4" x14ac:dyDescent="0.25">
      <c r="B23">
        <v>640852824</v>
      </c>
      <c r="C23" t="s">
        <v>36</v>
      </c>
      <c r="D23">
        <f>VLOOKUP(B23,Hoja5!$A$2:$E$95,2,FALSE)</f>
        <v>56</v>
      </c>
    </row>
    <row r="24" spans="2:4" x14ac:dyDescent="0.25">
      <c r="B24">
        <v>640852826</v>
      </c>
      <c r="C24" t="s">
        <v>28</v>
      </c>
      <c r="D24">
        <f>VLOOKUP(B24,Hoja5!$A$2:$E$95,2,FALSE)</f>
        <v>58</v>
      </c>
    </row>
    <row r="25" spans="2:4" x14ac:dyDescent="0.25">
      <c r="B25">
        <v>640852826</v>
      </c>
      <c r="C25" t="s">
        <v>28</v>
      </c>
      <c r="D25">
        <f>VLOOKUP(B25,Hoja5!$A$2:$E$95,2,FALSE)</f>
        <v>58</v>
      </c>
    </row>
    <row r="26" spans="2:4" x14ac:dyDescent="0.25">
      <c r="B26">
        <v>640852826</v>
      </c>
      <c r="C26" t="s">
        <v>28</v>
      </c>
      <c r="D26">
        <f>VLOOKUP(B26,Hoja5!$A$2:$E$95,2,FALSE)</f>
        <v>58</v>
      </c>
    </row>
    <row r="27" spans="2:4" x14ac:dyDescent="0.25">
      <c r="B27">
        <v>640852811</v>
      </c>
      <c r="C27" t="s">
        <v>31</v>
      </c>
      <c r="D27">
        <f>VLOOKUP(B27,Hoja5!$A$2:$E$95,2,FALSE)</f>
        <v>64</v>
      </c>
    </row>
    <row r="28" spans="2:4" x14ac:dyDescent="0.25">
      <c r="B28">
        <v>640852828</v>
      </c>
      <c r="C28" t="s">
        <v>37</v>
      </c>
      <c r="D28">
        <f>VLOOKUP(B28,Hoja5!$A$2:$E$95,2,FALSE)</f>
        <v>70</v>
      </c>
    </row>
    <row r="29" spans="2:4" x14ac:dyDescent="0.25">
      <c r="B29">
        <v>640852831</v>
      </c>
      <c r="C29" t="s">
        <v>28</v>
      </c>
      <c r="D29">
        <f>VLOOKUP(B29,Hoja5!$A$2:$E$95,2,FALSE)</f>
        <v>59</v>
      </c>
    </row>
    <row r="30" spans="2:4" x14ac:dyDescent="0.25">
      <c r="B30">
        <v>640852831</v>
      </c>
      <c r="C30" t="s">
        <v>28</v>
      </c>
      <c r="D30">
        <f>VLOOKUP(B30,Hoja5!$A$2:$E$95,2,FALSE)</f>
        <v>59</v>
      </c>
    </row>
    <row r="31" spans="2:4" x14ac:dyDescent="0.25">
      <c r="B31">
        <v>640852834</v>
      </c>
      <c r="C31" t="s">
        <v>38</v>
      </c>
      <c r="D31">
        <f>VLOOKUP(B31,Hoja5!$A$2:$E$95,2,FALSE)</f>
        <v>61</v>
      </c>
    </row>
    <row r="32" spans="2:4" x14ac:dyDescent="0.25">
      <c r="B32">
        <v>640853808</v>
      </c>
      <c r="C32" t="s">
        <v>33</v>
      </c>
      <c r="D32">
        <f>VLOOKUP(B32,Hoja5!$A$2:$E$95,2,FALSE)</f>
        <v>101</v>
      </c>
    </row>
    <row r="33" spans="2:4" x14ac:dyDescent="0.25">
      <c r="B33">
        <v>640852811</v>
      </c>
      <c r="C33" t="s">
        <v>31</v>
      </c>
      <c r="D33">
        <f>VLOOKUP(B33,Hoja5!$A$2:$E$95,2,FALSE)</f>
        <v>64</v>
      </c>
    </row>
    <row r="34" spans="2:4" x14ac:dyDescent="0.25">
      <c r="B34">
        <v>640852828</v>
      </c>
      <c r="C34" t="s">
        <v>37</v>
      </c>
      <c r="D34">
        <f>VLOOKUP(B34,Hoja5!$A$2:$E$95,2,FALSE)</f>
        <v>70</v>
      </c>
    </row>
    <row r="35" spans="2:4" x14ac:dyDescent="0.25">
      <c r="B35">
        <v>640852828</v>
      </c>
      <c r="C35" t="s">
        <v>37</v>
      </c>
      <c r="D35">
        <f>VLOOKUP(B35,Hoja5!$A$2:$E$95,2,FALSE)</f>
        <v>70</v>
      </c>
    </row>
    <row r="36" spans="2:4" x14ac:dyDescent="0.25">
      <c r="B36">
        <v>640852828</v>
      </c>
      <c r="C36" t="s">
        <v>37</v>
      </c>
      <c r="D36">
        <f>VLOOKUP(B36,Hoja5!$A$2:$E$95,2,FALSE)</f>
        <v>70</v>
      </c>
    </row>
    <row r="37" spans="2:4" x14ac:dyDescent="0.25">
      <c r="B37">
        <v>640852828</v>
      </c>
      <c r="C37" t="s">
        <v>37</v>
      </c>
      <c r="D37">
        <f>VLOOKUP(B37,Hoja5!$A$2:$E$95,2,FALSE)</f>
        <v>70</v>
      </c>
    </row>
    <row r="38" spans="2:4" x14ac:dyDescent="0.25">
      <c r="B38">
        <v>640852828</v>
      </c>
      <c r="C38" t="s">
        <v>37</v>
      </c>
      <c r="D38">
        <f>VLOOKUP(B38,Hoja5!$A$2:$E$95,2,FALSE)</f>
        <v>70</v>
      </c>
    </row>
    <row r="39" spans="2:4" x14ac:dyDescent="0.25">
      <c r="B39">
        <v>640852828</v>
      </c>
      <c r="C39" t="s">
        <v>37</v>
      </c>
      <c r="D39">
        <f>VLOOKUP(B39,Hoja5!$A$2:$E$95,2,FALSE)</f>
        <v>70</v>
      </c>
    </row>
    <row r="40" spans="2:4" x14ac:dyDescent="0.25">
      <c r="B40">
        <v>640852828</v>
      </c>
      <c r="C40" t="s">
        <v>37</v>
      </c>
      <c r="D40">
        <f>VLOOKUP(B40,Hoja5!$A$2:$E$95,2,FALSE)</f>
        <v>70</v>
      </c>
    </row>
    <row r="41" spans="2:4" x14ac:dyDescent="0.25">
      <c r="B41">
        <v>640852828</v>
      </c>
      <c r="C41" t="s">
        <v>37</v>
      </c>
      <c r="D41">
        <f>VLOOKUP(B41,Hoja5!$A$2:$E$95,2,FALSE)</f>
        <v>70</v>
      </c>
    </row>
    <row r="42" spans="2:4" x14ac:dyDescent="0.25">
      <c r="B42">
        <v>640852828</v>
      </c>
      <c r="C42" t="s">
        <v>37</v>
      </c>
      <c r="D42">
        <f>VLOOKUP(B42,Hoja5!$A$2:$E$95,2,FALSE)</f>
        <v>70</v>
      </c>
    </row>
    <row r="43" spans="2:4" x14ac:dyDescent="0.25">
      <c r="B43">
        <v>640852828</v>
      </c>
      <c r="C43" t="s">
        <v>37</v>
      </c>
      <c r="D43">
        <f>VLOOKUP(B43,Hoja5!$A$2:$E$95,2,FALSE)</f>
        <v>70</v>
      </c>
    </row>
    <row r="44" spans="2:4" x14ac:dyDescent="0.25">
      <c r="B44">
        <v>640852828</v>
      </c>
      <c r="C44" t="s">
        <v>37</v>
      </c>
      <c r="D44">
        <f>VLOOKUP(B44,Hoja5!$A$2:$E$95,2,FALSE)</f>
        <v>70</v>
      </c>
    </row>
    <row r="45" spans="2:4" x14ac:dyDescent="0.25">
      <c r="B45">
        <v>640852828</v>
      </c>
      <c r="C45" t="s">
        <v>37</v>
      </c>
      <c r="D45">
        <f>VLOOKUP(B45,Hoja5!$A$2:$E$95,2,FALSE)</f>
        <v>70</v>
      </c>
    </row>
    <row r="46" spans="2:4" x14ac:dyDescent="0.25">
      <c r="B46">
        <v>640852828</v>
      </c>
      <c r="C46" t="s">
        <v>37</v>
      </c>
      <c r="D46">
        <f>VLOOKUP(B46,Hoja5!$A$2:$E$95,2,FALSE)</f>
        <v>70</v>
      </c>
    </row>
    <row r="47" spans="2:4" x14ac:dyDescent="0.25">
      <c r="B47">
        <v>640852828</v>
      </c>
      <c r="C47" t="s">
        <v>37</v>
      </c>
      <c r="D47">
        <f>VLOOKUP(B47,Hoja5!$A$2:$E$95,2,FALSE)</f>
        <v>70</v>
      </c>
    </row>
    <row r="48" spans="2:4" x14ac:dyDescent="0.25">
      <c r="B48">
        <v>640852828</v>
      </c>
      <c r="C48" t="s">
        <v>37</v>
      </c>
      <c r="D48">
        <f>VLOOKUP(B48,Hoja5!$A$2:$E$95,2,FALSE)</f>
        <v>70</v>
      </c>
    </row>
    <row r="49" spans="2:4" x14ac:dyDescent="0.25">
      <c r="B49">
        <v>640853811</v>
      </c>
      <c r="C49" t="s">
        <v>39</v>
      </c>
      <c r="D49">
        <f>VLOOKUP(B49,Hoja5!$A$2:$E$95,2,FALSE)</f>
        <v>84</v>
      </c>
    </row>
    <row r="50" spans="2:4" x14ac:dyDescent="0.25">
      <c r="B50">
        <v>640852812</v>
      </c>
      <c r="C50" t="s">
        <v>40</v>
      </c>
      <c r="D50">
        <f>VLOOKUP(B50,Hoja5!$A$2:$E$95,2,FALSE)</f>
        <v>65</v>
      </c>
    </row>
    <row r="51" spans="2:4" x14ac:dyDescent="0.25">
      <c r="B51">
        <v>640853818</v>
      </c>
      <c r="C51" t="s">
        <v>34</v>
      </c>
      <c r="D51">
        <f>VLOOKUP(B51,Hoja5!$A$2:$E$95,2,FALSE)</f>
        <v>131</v>
      </c>
    </row>
    <row r="52" spans="2:4" x14ac:dyDescent="0.25">
      <c r="B52">
        <v>640853823</v>
      </c>
      <c r="C52" t="s">
        <v>30</v>
      </c>
      <c r="D52">
        <f>VLOOKUP(B52,Hoja5!$A$2:$E$95,2,FALSE)</f>
        <v>85</v>
      </c>
    </row>
    <row r="53" spans="2:4" x14ac:dyDescent="0.25">
      <c r="B53">
        <v>640852812</v>
      </c>
      <c r="C53" t="s">
        <v>40</v>
      </c>
      <c r="D53">
        <f>VLOOKUP(B53,Hoja5!$A$2:$E$95,2,FALSE)</f>
        <v>65</v>
      </c>
    </row>
    <row r="54" spans="2:4" x14ac:dyDescent="0.25">
      <c r="B54">
        <v>640852812</v>
      </c>
      <c r="C54" t="s">
        <v>40</v>
      </c>
      <c r="D54">
        <f>VLOOKUP(B54,Hoja5!$A$2:$E$95,2,FALSE)</f>
        <v>65</v>
      </c>
    </row>
    <row r="55" spans="2:4" x14ac:dyDescent="0.25">
      <c r="B55">
        <v>640852812</v>
      </c>
      <c r="C55" t="s">
        <v>40</v>
      </c>
      <c r="D55">
        <f>VLOOKUP(B55,Hoja5!$A$2:$E$95,2,FALSE)</f>
        <v>65</v>
      </c>
    </row>
    <row r="56" spans="2:4" x14ac:dyDescent="0.25">
      <c r="B56">
        <v>640852811</v>
      </c>
      <c r="C56" t="s">
        <v>31</v>
      </c>
      <c r="D56">
        <f>VLOOKUP(B56,Hoja5!$A$2:$E$95,2,FALSE)</f>
        <v>64</v>
      </c>
    </row>
    <row r="57" spans="2:4" x14ac:dyDescent="0.25">
      <c r="B57">
        <v>640853828</v>
      </c>
      <c r="C57" t="s">
        <v>41</v>
      </c>
      <c r="D57">
        <f>VLOOKUP(B57,Hoja5!$A$2:$E$95,2,FALSE)</f>
        <v>62</v>
      </c>
    </row>
    <row r="58" spans="2:4" x14ac:dyDescent="0.25">
      <c r="B58">
        <v>646202855</v>
      </c>
      <c r="C58" t="s">
        <v>42</v>
      </c>
      <c r="D58" t="e">
        <f>VLOOKUP(B58,Hoja5!$A$2:$E$95,2,FALSE)</f>
        <v>#N/A</v>
      </c>
    </row>
    <row r="59" spans="2:4" x14ac:dyDescent="0.25">
      <c r="B59">
        <v>640852811</v>
      </c>
      <c r="C59" t="s">
        <v>31</v>
      </c>
      <c r="D59">
        <f>VLOOKUP(B59,Hoja5!$A$2:$E$95,2,FALSE)</f>
        <v>64</v>
      </c>
    </row>
    <row r="60" spans="2:4" x14ac:dyDescent="0.25">
      <c r="B60">
        <v>640852812</v>
      </c>
      <c r="C60" t="s">
        <v>40</v>
      </c>
      <c r="D60">
        <f>VLOOKUP(B60,Hoja5!$A$2:$E$95,2,FALSE)</f>
        <v>65</v>
      </c>
    </row>
    <row r="61" spans="2:4" x14ac:dyDescent="0.25">
      <c r="B61">
        <v>640853837</v>
      </c>
      <c r="C61" t="s">
        <v>30</v>
      </c>
      <c r="D61">
        <f>VLOOKUP(B61,Hoja5!$A$2:$E$95,2,FALSE)</f>
        <v>137</v>
      </c>
    </row>
    <row r="62" spans="2:4" x14ac:dyDescent="0.25">
      <c r="B62">
        <v>640853838</v>
      </c>
      <c r="C62" t="s">
        <v>30</v>
      </c>
      <c r="D62">
        <f>VLOOKUP(B62,Hoja5!$A$2:$E$95,2,FALSE)</f>
        <v>135</v>
      </c>
    </row>
    <row r="63" spans="2:4" x14ac:dyDescent="0.25">
      <c r="B63">
        <v>640853838</v>
      </c>
      <c r="C63" t="s">
        <v>30</v>
      </c>
      <c r="D63">
        <f>VLOOKUP(B63,Hoja5!$A$2:$E$95,2,FALSE)</f>
        <v>135</v>
      </c>
    </row>
    <row r="64" spans="2:4" x14ac:dyDescent="0.25">
      <c r="B64">
        <v>640853840</v>
      </c>
      <c r="C64" t="s">
        <v>30</v>
      </c>
      <c r="D64">
        <f>VLOOKUP(B64,Hoja5!$A$2:$E$95,2,FALSE)</f>
        <v>136</v>
      </c>
    </row>
    <row r="65" spans="2:4" x14ac:dyDescent="0.25">
      <c r="B65">
        <v>640853841</v>
      </c>
      <c r="C65" t="s">
        <v>43</v>
      </c>
      <c r="D65">
        <f>VLOOKUP(B65,Hoja5!$A$2:$E$95,2,FALSE)</f>
        <v>102</v>
      </c>
    </row>
    <row r="66" spans="2:4" x14ac:dyDescent="0.25">
      <c r="B66">
        <v>640853841</v>
      </c>
      <c r="C66" t="s">
        <v>43</v>
      </c>
      <c r="D66">
        <f>VLOOKUP(B66,Hoja5!$A$2:$E$95,2,FALSE)</f>
        <v>102</v>
      </c>
    </row>
    <row r="67" spans="2:4" x14ac:dyDescent="0.25">
      <c r="B67">
        <v>640853841</v>
      </c>
      <c r="C67" t="s">
        <v>43</v>
      </c>
      <c r="D67">
        <f>VLOOKUP(B67,Hoja5!$A$2:$E$95,2,FALSE)</f>
        <v>102</v>
      </c>
    </row>
    <row r="68" spans="2:4" x14ac:dyDescent="0.25">
      <c r="B68">
        <v>640853841</v>
      </c>
      <c r="C68" t="s">
        <v>43</v>
      </c>
      <c r="D68">
        <f>VLOOKUP(B68,Hoja5!$A$2:$E$95,2,FALSE)</f>
        <v>102</v>
      </c>
    </row>
    <row r="69" spans="2:4" x14ac:dyDescent="0.25">
      <c r="B69">
        <v>640852802</v>
      </c>
      <c r="C69" t="s">
        <v>44</v>
      </c>
      <c r="D69">
        <f>VLOOKUP(B69,Hoja5!$A$2:$E$95,2,FALSE)</f>
        <v>63</v>
      </c>
    </row>
    <row r="70" spans="2:4" x14ac:dyDescent="0.25">
      <c r="B70">
        <v>640852811</v>
      </c>
      <c r="C70" t="s">
        <v>31</v>
      </c>
      <c r="D70">
        <f>VLOOKUP(B70,Hoja5!$A$2:$E$95,2,FALSE)</f>
        <v>64</v>
      </c>
    </row>
    <row r="71" spans="2:4" x14ac:dyDescent="0.25">
      <c r="B71">
        <v>640852811</v>
      </c>
      <c r="C71" t="s">
        <v>31</v>
      </c>
      <c r="D71">
        <f>VLOOKUP(B71,Hoja5!$A$2:$E$95,2,FALSE)</f>
        <v>64</v>
      </c>
    </row>
    <row r="72" spans="2:4" x14ac:dyDescent="0.25">
      <c r="B72">
        <v>640854808</v>
      </c>
      <c r="C72" t="s">
        <v>45</v>
      </c>
      <c r="D72">
        <f>VLOOKUP(B72,Hoja5!$A$2:$E$95,2,FALSE)</f>
        <v>139</v>
      </c>
    </row>
    <row r="73" spans="2:4" x14ac:dyDescent="0.25">
      <c r="B73">
        <v>640854809</v>
      </c>
      <c r="C73" t="s">
        <v>46</v>
      </c>
      <c r="D73">
        <f>VLOOKUP(B73,Hoja5!$A$2:$E$95,2,FALSE)</f>
        <v>140</v>
      </c>
    </row>
    <row r="74" spans="2:4" x14ac:dyDescent="0.25">
      <c r="B74">
        <v>640853819</v>
      </c>
      <c r="C74" t="s">
        <v>44</v>
      </c>
      <c r="D74">
        <f>VLOOKUP(B74,Hoja5!$A$2:$E$95,2,FALSE)</f>
        <v>71</v>
      </c>
    </row>
    <row r="75" spans="2:4" x14ac:dyDescent="0.25">
      <c r="B75">
        <v>640852811</v>
      </c>
      <c r="C75" t="s">
        <v>31</v>
      </c>
      <c r="D75">
        <f>VLOOKUP(B75,Hoja5!$A$2:$E$95,2,FALSE)</f>
        <v>64</v>
      </c>
    </row>
    <row r="76" spans="2:4" x14ac:dyDescent="0.25">
      <c r="B76">
        <v>640854811</v>
      </c>
      <c r="C76" t="s">
        <v>47</v>
      </c>
      <c r="D76">
        <f>VLOOKUP(B76,Hoja5!$A$2:$E$95,2,FALSE)</f>
        <v>143</v>
      </c>
    </row>
    <row r="77" spans="2:4" x14ac:dyDescent="0.25">
      <c r="B77">
        <v>640854813</v>
      </c>
      <c r="C77" t="s">
        <v>30</v>
      </c>
      <c r="D77">
        <f>VLOOKUP(B77,Hoja5!$A$2:$E$95,2,FALSE)</f>
        <v>145</v>
      </c>
    </row>
    <row r="78" spans="2:4" x14ac:dyDescent="0.25">
      <c r="B78">
        <v>640852802</v>
      </c>
      <c r="C78" t="s">
        <v>44</v>
      </c>
      <c r="D78">
        <f>VLOOKUP(B78,Hoja5!$A$2:$E$95,2,FALSE)</f>
        <v>63</v>
      </c>
    </row>
    <row r="79" spans="2:4" x14ac:dyDescent="0.25">
      <c r="B79">
        <v>640852802</v>
      </c>
      <c r="C79" t="s">
        <v>44</v>
      </c>
      <c r="D79">
        <f>VLOOKUP(B79,Hoja5!$A$2:$E$95,2,FALSE)</f>
        <v>63</v>
      </c>
    </row>
    <row r="80" spans="2:4" x14ac:dyDescent="0.25">
      <c r="B80">
        <v>640852801</v>
      </c>
      <c r="C80" t="s">
        <v>48</v>
      </c>
      <c r="D80">
        <f>VLOOKUP(B80,Hoja5!$A$2:$E$95,2,FALSE)</f>
        <v>98</v>
      </c>
    </row>
    <row r="81" spans="2:4" x14ac:dyDescent="0.25">
      <c r="B81">
        <v>640854810</v>
      </c>
      <c r="C81" t="s">
        <v>49</v>
      </c>
      <c r="D81">
        <f>VLOOKUP(B81,Hoja5!$A$2:$E$95,2,FALSE)</f>
        <v>142</v>
      </c>
    </row>
    <row r="82" spans="2:4" x14ac:dyDescent="0.25">
      <c r="B82">
        <v>640854810</v>
      </c>
      <c r="C82" t="s">
        <v>49</v>
      </c>
      <c r="D82">
        <f>VLOOKUP(B82,Hoja5!$A$2:$E$95,2,FALSE)</f>
        <v>142</v>
      </c>
    </row>
    <row r="83" spans="2:4" x14ac:dyDescent="0.25">
      <c r="B83">
        <v>640854810</v>
      </c>
      <c r="C83" t="s">
        <v>49</v>
      </c>
      <c r="D83">
        <f>VLOOKUP(B83,Hoja5!$A$2:$E$95,2,FALSE)</f>
        <v>142</v>
      </c>
    </row>
    <row r="84" spans="2:4" x14ac:dyDescent="0.25">
      <c r="B84">
        <v>640854812</v>
      </c>
      <c r="C84" t="s">
        <v>50</v>
      </c>
      <c r="D84">
        <f>VLOOKUP(B84,Hoja5!$A$2:$E$95,2,FALSE)</f>
        <v>144</v>
      </c>
    </row>
    <row r="85" spans="2:4" x14ac:dyDescent="0.25">
      <c r="B85">
        <v>640854812</v>
      </c>
      <c r="C85" t="s">
        <v>50</v>
      </c>
      <c r="D85">
        <f>VLOOKUP(B85,Hoja5!$A$2:$E$95,2,FALSE)</f>
        <v>144</v>
      </c>
    </row>
    <row r="86" spans="2:4" x14ac:dyDescent="0.25">
      <c r="B86">
        <v>640854814</v>
      </c>
      <c r="C86" t="s">
        <v>51</v>
      </c>
      <c r="D86">
        <f>VLOOKUP(B86,Hoja5!$A$2:$E$95,2,FALSE)</f>
        <v>146</v>
      </c>
    </row>
    <row r="87" spans="2:4" x14ac:dyDescent="0.25">
      <c r="B87">
        <v>640854815</v>
      </c>
      <c r="C87" t="s">
        <v>39</v>
      </c>
      <c r="D87">
        <f>VLOOKUP(B87,Hoja5!$A$2:$E$95,2,FALSE)</f>
        <v>103</v>
      </c>
    </row>
    <row r="88" spans="2:4" x14ac:dyDescent="0.25">
      <c r="B88">
        <v>640853820</v>
      </c>
      <c r="C88" t="s">
        <v>48</v>
      </c>
      <c r="D88">
        <f>VLOOKUP(B88,Hoja5!$A$2:$E$95,2,FALSE)</f>
        <v>134</v>
      </c>
    </row>
    <row r="89" spans="2:4" x14ac:dyDescent="0.25">
      <c r="B89">
        <v>640854813</v>
      </c>
      <c r="C89" t="s">
        <v>30</v>
      </c>
      <c r="D89">
        <f>VLOOKUP(B89,Hoja5!$A$2:$E$95,2,FALSE)</f>
        <v>145</v>
      </c>
    </row>
    <row r="90" spans="2:4" x14ac:dyDescent="0.25">
      <c r="B90">
        <v>640853844</v>
      </c>
      <c r="C90" t="s">
        <v>36</v>
      </c>
      <c r="D90">
        <f>VLOOKUP(B90,Hoja5!$A$2:$E$95,2,FALSE)</f>
        <v>138</v>
      </c>
    </row>
    <row r="91" spans="2:4" x14ac:dyDescent="0.25">
      <c r="B91">
        <v>640854810</v>
      </c>
      <c r="C91" t="s">
        <v>49</v>
      </c>
      <c r="D91">
        <f>VLOOKUP(B91,Hoja5!$A$2:$E$95,2,FALSE)</f>
        <v>142</v>
      </c>
    </row>
    <row r="92" spans="2:4" x14ac:dyDescent="0.25">
      <c r="B92">
        <v>640852801</v>
      </c>
      <c r="C92" t="s">
        <v>48</v>
      </c>
      <c r="D92">
        <f>VLOOKUP(B92,Hoja5!$A$2:$E$95,2,FALSE)</f>
        <v>98</v>
      </c>
    </row>
    <row r="93" spans="2:4" x14ac:dyDescent="0.25">
      <c r="B93">
        <v>640853844</v>
      </c>
      <c r="C93" t="s">
        <v>36</v>
      </c>
      <c r="D93">
        <f>VLOOKUP(B93,Hoja5!$A$2:$E$95,2,FALSE)</f>
        <v>138</v>
      </c>
    </row>
    <row r="94" spans="2:4" x14ac:dyDescent="0.25">
      <c r="B94">
        <v>640853844</v>
      </c>
      <c r="C94" t="s">
        <v>36</v>
      </c>
      <c r="D94">
        <f>VLOOKUP(B94,Hoja5!$A$2:$E$95,2,FALSE)</f>
        <v>138</v>
      </c>
    </row>
    <row r="95" spans="2:4" x14ac:dyDescent="0.25">
      <c r="B95">
        <v>640852802</v>
      </c>
      <c r="C95" t="s">
        <v>44</v>
      </c>
      <c r="D95">
        <f>VLOOKUP(B95,Hoja5!$A$2:$E$95,2,FALSE)</f>
        <v>63</v>
      </c>
    </row>
    <row r="96" spans="2:4" x14ac:dyDescent="0.25">
      <c r="B96">
        <v>640853819</v>
      </c>
      <c r="C96" t="s">
        <v>44</v>
      </c>
      <c r="D96">
        <f>VLOOKUP(B96,Hoja5!$A$2:$E$95,2,FALSE)</f>
        <v>71</v>
      </c>
    </row>
    <row r="97" spans="2:4" x14ac:dyDescent="0.25">
      <c r="B97">
        <v>640853844</v>
      </c>
      <c r="C97" t="s">
        <v>36</v>
      </c>
      <c r="D97">
        <f>VLOOKUP(B97,Hoja5!$A$2:$E$95,2,FALSE)</f>
        <v>138</v>
      </c>
    </row>
    <row r="98" spans="2:4" x14ac:dyDescent="0.25">
      <c r="B98">
        <v>640854812</v>
      </c>
      <c r="C98" t="s">
        <v>50</v>
      </c>
      <c r="D98">
        <f>VLOOKUP(B98,Hoja5!$A$2:$E$95,2,FALSE)</f>
        <v>144</v>
      </c>
    </row>
    <row r="99" spans="2:4" x14ac:dyDescent="0.25">
      <c r="B99">
        <v>640854812</v>
      </c>
      <c r="C99" t="s">
        <v>50</v>
      </c>
      <c r="D99">
        <f>VLOOKUP(B99,Hoja5!$A$2:$E$95,2,FALSE)</f>
        <v>144</v>
      </c>
    </row>
    <row r="100" spans="2:4" x14ac:dyDescent="0.25">
      <c r="B100">
        <v>640854812</v>
      </c>
      <c r="C100" t="s">
        <v>50</v>
      </c>
      <c r="D100">
        <f>VLOOKUP(B100,Hoja5!$A$2:$E$95,2,FALSE)</f>
        <v>144</v>
      </c>
    </row>
    <row r="101" spans="2:4" x14ac:dyDescent="0.25">
      <c r="B101">
        <v>640854815</v>
      </c>
      <c r="C101" t="s">
        <v>39</v>
      </c>
      <c r="D101">
        <f>VLOOKUP(B101,Hoja5!$A$2:$E$95,2,FALSE)</f>
        <v>103</v>
      </c>
    </row>
    <row r="102" spans="2:4" x14ac:dyDescent="0.25">
      <c r="B102">
        <v>640854815</v>
      </c>
      <c r="C102" t="s">
        <v>39</v>
      </c>
      <c r="D102">
        <f>VLOOKUP(B102,Hoja5!$A$2:$E$95,2,FALSE)</f>
        <v>103</v>
      </c>
    </row>
    <row r="103" spans="2:4" x14ac:dyDescent="0.25">
      <c r="B103">
        <v>640853820</v>
      </c>
      <c r="C103" t="s">
        <v>48</v>
      </c>
      <c r="D103">
        <f>VLOOKUP(B103,Hoja5!$A$2:$E$95,2,FALSE)</f>
        <v>134</v>
      </c>
    </row>
    <row r="104" spans="2:4" x14ac:dyDescent="0.25">
      <c r="B104">
        <v>640854810</v>
      </c>
      <c r="C104" t="s">
        <v>49</v>
      </c>
      <c r="D104">
        <f>VLOOKUP(B104,Hoja5!$A$2:$E$95,2,FALSE)</f>
        <v>142</v>
      </c>
    </row>
    <row r="105" spans="2:4" x14ac:dyDescent="0.25">
      <c r="B105">
        <v>640853819</v>
      </c>
      <c r="C105" t="s">
        <v>44</v>
      </c>
      <c r="D105">
        <f>VLOOKUP(B105,Hoja5!$A$2:$E$95,2,FALSE)</f>
        <v>71</v>
      </c>
    </row>
    <row r="106" spans="2:4" x14ac:dyDescent="0.25">
      <c r="B106">
        <v>640853844</v>
      </c>
      <c r="C106" t="s">
        <v>36</v>
      </c>
      <c r="D106">
        <f>VLOOKUP(B106,Hoja5!$A$2:$E$95,2,FALSE)</f>
        <v>138</v>
      </c>
    </row>
    <row r="107" spans="2:4" x14ac:dyDescent="0.25">
      <c r="B107">
        <v>640852800</v>
      </c>
      <c r="C107" t="s">
        <v>52</v>
      </c>
      <c r="D107">
        <f>VLOOKUP(B107,Hoja5!$A$2:$E$95,2,FALSE)</f>
        <v>100</v>
      </c>
    </row>
    <row r="108" spans="2:4" x14ac:dyDescent="0.25">
      <c r="B108">
        <v>640854818</v>
      </c>
      <c r="C108" t="s">
        <v>35</v>
      </c>
      <c r="D108" t="e">
        <f>VLOOKUP(B108,Hoja5!$A$2:$E$95,2,FALSE)</f>
        <v>#N/A</v>
      </c>
    </row>
    <row r="109" spans="2:4" x14ac:dyDescent="0.25">
      <c r="B109">
        <v>640854812</v>
      </c>
      <c r="C109" t="s">
        <v>50</v>
      </c>
      <c r="D109">
        <f>VLOOKUP(B109,Hoja5!$A$2:$E$95,2,FALSE)</f>
        <v>144</v>
      </c>
    </row>
    <row r="110" spans="2:4" x14ac:dyDescent="0.25">
      <c r="B110">
        <v>640854812</v>
      </c>
      <c r="C110" t="s">
        <v>50</v>
      </c>
      <c r="D110">
        <f>VLOOKUP(B110,Hoja5!$A$2:$E$95,2,FALSE)</f>
        <v>144</v>
      </c>
    </row>
    <row r="111" spans="2:4" x14ac:dyDescent="0.25">
      <c r="B111">
        <v>640854812</v>
      </c>
      <c r="C111" t="s">
        <v>50</v>
      </c>
      <c r="D111">
        <f>VLOOKUP(B111,Hoja5!$A$2:$E$95,2,FALSE)</f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369B-AFD9-43D9-A051-BEB0FEEBD966}">
  <dimension ref="A1:E95"/>
  <sheetViews>
    <sheetView topLeftCell="A5" workbookViewId="0">
      <selection activeCell="A2" sqref="A2:A95"/>
    </sheetView>
  </sheetViews>
  <sheetFormatPr baseColWidth="10" defaultRowHeight="15" x14ac:dyDescent="0.25"/>
  <sheetData>
    <row r="1" spans="1:5" x14ac:dyDescent="0.25">
      <c r="B1" t="s">
        <v>0</v>
      </c>
      <c r="C1" t="s">
        <v>388</v>
      </c>
      <c r="D1" t="s">
        <v>389</v>
      </c>
      <c r="E1" t="s">
        <v>390</v>
      </c>
    </row>
    <row r="2" spans="1:5" x14ac:dyDescent="0.25">
      <c r="A2">
        <v>640835805</v>
      </c>
      <c r="B2">
        <v>30</v>
      </c>
      <c r="C2">
        <v>1</v>
      </c>
      <c r="D2" t="s">
        <v>378</v>
      </c>
      <c r="E2">
        <v>640835805</v>
      </c>
    </row>
    <row r="3" spans="1:5" x14ac:dyDescent="0.25">
      <c r="A3">
        <v>640837800</v>
      </c>
      <c r="B3">
        <v>31</v>
      </c>
      <c r="C3">
        <v>2</v>
      </c>
      <c r="D3" t="s">
        <v>378</v>
      </c>
      <c r="E3">
        <v>640837800</v>
      </c>
    </row>
    <row r="4" spans="1:5" x14ac:dyDescent="0.25">
      <c r="A4">
        <v>640851805</v>
      </c>
      <c r="B4">
        <v>32</v>
      </c>
      <c r="C4">
        <v>6</v>
      </c>
      <c r="D4" t="s">
        <v>379</v>
      </c>
      <c r="E4">
        <v>640851805</v>
      </c>
    </row>
    <row r="5" spans="1:5" x14ac:dyDescent="0.25">
      <c r="A5">
        <v>640858818</v>
      </c>
      <c r="B5">
        <v>33</v>
      </c>
      <c r="C5">
        <v>11</v>
      </c>
      <c r="D5" t="s">
        <v>380</v>
      </c>
      <c r="E5">
        <v>640858818</v>
      </c>
    </row>
    <row r="6" spans="1:5" x14ac:dyDescent="0.25">
      <c r="A6">
        <v>420832856</v>
      </c>
      <c r="B6">
        <v>34</v>
      </c>
      <c r="C6">
        <v>12</v>
      </c>
      <c r="D6" t="s">
        <v>380</v>
      </c>
      <c r="E6">
        <v>420832856</v>
      </c>
    </row>
    <row r="7" spans="1:5" x14ac:dyDescent="0.25">
      <c r="A7">
        <v>420833820</v>
      </c>
      <c r="B7">
        <v>35</v>
      </c>
      <c r="C7">
        <v>13</v>
      </c>
      <c r="D7" t="s">
        <v>380</v>
      </c>
      <c r="E7">
        <v>420833820</v>
      </c>
    </row>
    <row r="8" spans="1:5" x14ac:dyDescent="0.25">
      <c r="A8">
        <v>420832825</v>
      </c>
      <c r="B8">
        <v>36</v>
      </c>
      <c r="C8">
        <v>14</v>
      </c>
      <c r="D8" t="s">
        <v>381</v>
      </c>
      <c r="E8">
        <v>420832825</v>
      </c>
    </row>
    <row r="9" spans="1:5" x14ac:dyDescent="0.25">
      <c r="A9">
        <v>640858800</v>
      </c>
      <c r="B9">
        <v>37</v>
      </c>
      <c r="C9">
        <v>15</v>
      </c>
      <c r="D9" t="s">
        <v>380</v>
      </c>
      <c r="E9">
        <v>640858800</v>
      </c>
    </row>
    <row r="10" spans="1:5" x14ac:dyDescent="0.25">
      <c r="A10">
        <v>640859815</v>
      </c>
      <c r="B10">
        <v>38</v>
      </c>
      <c r="C10">
        <v>19</v>
      </c>
      <c r="D10" t="s">
        <v>382</v>
      </c>
      <c r="E10">
        <v>640859815</v>
      </c>
    </row>
    <row r="11" spans="1:5" x14ac:dyDescent="0.25">
      <c r="A11">
        <v>640858803</v>
      </c>
      <c r="B11">
        <v>39</v>
      </c>
      <c r="C11">
        <v>20</v>
      </c>
      <c r="D11" t="s">
        <v>380</v>
      </c>
      <c r="E11">
        <v>640858803</v>
      </c>
    </row>
    <row r="12" spans="1:5" x14ac:dyDescent="0.25">
      <c r="A12">
        <v>420832814</v>
      </c>
      <c r="B12">
        <v>40</v>
      </c>
      <c r="C12">
        <v>24</v>
      </c>
      <c r="D12" t="s">
        <v>378</v>
      </c>
      <c r="E12">
        <v>420832814</v>
      </c>
    </row>
    <row r="13" spans="1:5" x14ac:dyDescent="0.25">
      <c r="A13">
        <v>420832829</v>
      </c>
      <c r="B13">
        <v>41</v>
      </c>
      <c r="C13">
        <v>25</v>
      </c>
      <c r="D13" t="s">
        <v>379</v>
      </c>
      <c r="E13">
        <v>420832829</v>
      </c>
    </row>
    <row r="14" spans="1:5" x14ac:dyDescent="0.25">
      <c r="A14">
        <v>640858801</v>
      </c>
      <c r="B14">
        <v>42</v>
      </c>
      <c r="C14">
        <v>27</v>
      </c>
      <c r="D14" t="s">
        <v>379</v>
      </c>
      <c r="E14">
        <v>640858801</v>
      </c>
    </row>
    <row r="15" spans="1:5" x14ac:dyDescent="0.25">
      <c r="A15">
        <v>640858819</v>
      </c>
      <c r="B15">
        <v>43</v>
      </c>
      <c r="C15">
        <v>29</v>
      </c>
      <c r="D15" t="s">
        <v>382</v>
      </c>
      <c r="E15">
        <v>640858819</v>
      </c>
    </row>
    <row r="16" spans="1:5" x14ac:dyDescent="0.25">
      <c r="A16">
        <v>640838800</v>
      </c>
      <c r="B16">
        <v>44</v>
      </c>
      <c r="C16">
        <v>33</v>
      </c>
      <c r="D16" t="s">
        <v>378</v>
      </c>
      <c r="E16">
        <v>640838800</v>
      </c>
    </row>
    <row r="17" spans="1:5" x14ac:dyDescent="0.25">
      <c r="A17">
        <v>640858813</v>
      </c>
      <c r="B17">
        <v>45</v>
      </c>
      <c r="C17">
        <v>38</v>
      </c>
      <c r="D17" t="s">
        <v>383</v>
      </c>
      <c r="E17">
        <v>640858813</v>
      </c>
    </row>
    <row r="18" spans="1:5" x14ac:dyDescent="0.25">
      <c r="A18">
        <v>640858804</v>
      </c>
      <c r="B18">
        <v>46</v>
      </c>
      <c r="C18">
        <v>39</v>
      </c>
      <c r="D18" t="s">
        <v>380</v>
      </c>
      <c r="E18">
        <v>640858804</v>
      </c>
    </row>
    <row r="19" spans="1:5" x14ac:dyDescent="0.25">
      <c r="A19">
        <v>640858817</v>
      </c>
      <c r="B19">
        <v>47</v>
      </c>
      <c r="C19">
        <v>42</v>
      </c>
      <c r="D19" t="s">
        <v>380</v>
      </c>
      <c r="E19">
        <v>640858817</v>
      </c>
    </row>
    <row r="20" spans="1:5" x14ac:dyDescent="0.25">
      <c r="A20">
        <v>640850800</v>
      </c>
      <c r="B20">
        <v>48</v>
      </c>
      <c r="C20">
        <v>45</v>
      </c>
      <c r="D20" t="s">
        <v>378</v>
      </c>
      <c r="E20">
        <v>640850800</v>
      </c>
    </row>
    <row r="21" spans="1:5" x14ac:dyDescent="0.25">
      <c r="A21">
        <v>420834811</v>
      </c>
      <c r="B21">
        <v>49</v>
      </c>
      <c r="C21">
        <v>46</v>
      </c>
      <c r="D21" t="s">
        <v>378</v>
      </c>
      <c r="E21">
        <v>420834811</v>
      </c>
    </row>
    <row r="22" spans="1:5" x14ac:dyDescent="0.25">
      <c r="A22">
        <v>640835801</v>
      </c>
      <c r="B22">
        <v>50</v>
      </c>
      <c r="C22">
        <v>47</v>
      </c>
      <c r="D22" t="s">
        <v>378</v>
      </c>
      <c r="E22">
        <v>640835801</v>
      </c>
    </row>
    <row r="23" spans="1:5" x14ac:dyDescent="0.25">
      <c r="A23">
        <v>640859800</v>
      </c>
      <c r="B23">
        <v>51</v>
      </c>
      <c r="C23">
        <v>48</v>
      </c>
      <c r="D23" t="s">
        <v>378</v>
      </c>
      <c r="E23">
        <v>640859800</v>
      </c>
    </row>
    <row r="24" spans="1:5" x14ac:dyDescent="0.25">
      <c r="A24">
        <v>640836802</v>
      </c>
      <c r="B24">
        <v>52</v>
      </c>
      <c r="C24">
        <v>49</v>
      </c>
      <c r="D24" t="s">
        <v>380</v>
      </c>
      <c r="E24">
        <v>640836802</v>
      </c>
    </row>
    <row r="25" spans="1:5" x14ac:dyDescent="0.25">
      <c r="A25">
        <v>640859821</v>
      </c>
      <c r="B25">
        <v>53</v>
      </c>
      <c r="C25">
        <v>50</v>
      </c>
      <c r="D25" t="s">
        <v>380</v>
      </c>
      <c r="E25">
        <v>640859821</v>
      </c>
    </row>
    <row r="26" spans="1:5" x14ac:dyDescent="0.25">
      <c r="A26">
        <v>640859801</v>
      </c>
      <c r="B26">
        <v>54</v>
      </c>
      <c r="C26">
        <v>51</v>
      </c>
      <c r="D26" t="s">
        <v>378</v>
      </c>
      <c r="E26">
        <v>640859801</v>
      </c>
    </row>
    <row r="27" spans="1:5" x14ac:dyDescent="0.25">
      <c r="A27">
        <v>640852821</v>
      </c>
      <c r="B27">
        <v>55</v>
      </c>
      <c r="C27">
        <v>52</v>
      </c>
      <c r="D27" t="s">
        <v>379</v>
      </c>
      <c r="E27">
        <v>640852821</v>
      </c>
    </row>
    <row r="28" spans="1:5" x14ac:dyDescent="0.25">
      <c r="A28">
        <v>640852824</v>
      </c>
      <c r="B28">
        <v>56</v>
      </c>
      <c r="C28">
        <v>53</v>
      </c>
      <c r="D28" t="s">
        <v>379</v>
      </c>
      <c r="E28">
        <v>640852824</v>
      </c>
    </row>
    <row r="29" spans="1:5" x14ac:dyDescent="0.25">
      <c r="A29">
        <v>640852825</v>
      </c>
      <c r="B29">
        <v>57</v>
      </c>
      <c r="C29">
        <v>54</v>
      </c>
      <c r="D29" t="s">
        <v>379</v>
      </c>
      <c r="E29">
        <v>640852825</v>
      </c>
    </row>
    <row r="30" spans="1:5" x14ac:dyDescent="0.25">
      <c r="A30">
        <v>640852826</v>
      </c>
      <c r="B30">
        <v>58</v>
      </c>
      <c r="C30">
        <v>55</v>
      </c>
      <c r="D30" t="s">
        <v>379</v>
      </c>
      <c r="E30">
        <v>640852826</v>
      </c>
    </row>
    <row r="31" spans="1:5" x14ac:dyDescent="0.25">
      <c r="A31">
        <v>640852831</v>
      </c>
      <c r="B31">
        <v>59</v>
      </c>
      <c r="C31">
        <v>56</v>
      </c>
      <c r="D31" t="s">
        <v>379</v>
      </c>
      <c r="E31">
        <v>640852831</v>
      </c>
    </row>
    <row r="32" spans="1:5" x14ac:dyDescent="0.25">
      <c r="A32">
        <v>640851807</v>
      </c>
      <c r="B32">
        <v>60</v>
      </c>
      <c r="C32">
        <v>57</v>
      </c>
      <c r="D32" t="s">
        <v>384</v>
      </c>
      <c r="E32">
        <v>640851807</v>
      </c>
    </row>
    <row r="33" spans="1:5" x14ac:dyDescent="0.25">
      <c r="A33">
        <v>640852834</v>
      </c>
      <c r="B33">
        <v>61</v>
      </c>
      <c r="C33">
        <v>58</v>
      </c>
      <c r="D33" t="s">
        <v>380</v>
      </c>
      <c r="E33">
        <v>640852834</v>
      </c>
    </row>
    <row r="34" spans="1:5" x14ac:dyDescent="0.25">
      <c r="A34">
        <v>640853828</v>
      </c>
      <c r="B34">
        <v>62</v>
      </c>
      <c r="C34">
        <v>59</v>
      </c>
      <c r="D34" t="s">
        <v>380</v>
      </c>
      <c r="E34">
        <v>640853828</v>
      </c>
    </row>
    <row r="35" spans="1:5" x14ac:dyDescent="0.25">
      <c r="A35">
        <v>640852802</v>
      </c>
      <c r="B35">
        <v>63</v>
      </c>
      <c r="C35">
        <v>60</v>
      </c>
      <c r="D35" t="s">
        <v>385</v>
      </c>
      <c r="E35">
        <v>640852802</v>
      </c>
    </row>
    <row r="36" spans="1:5" x14ac:dyDescent="0.25">
      <c r="A36">
        <v>640852811</v>
      </c>
      <c r="B36">
        <v>64</v>
      </c>
      <c r="C36">
        <v>61</v>
      </c>
      <c r="D36" t="s">
        <v>381</v>
      </c>
      <c r="E36">
        <v>640852811</v>
      </c>
    </row>
    <row r="37" spans="1:5" x14ac:dyDescent="0.25">
      <c r="A37">
        <v>640852812</v>
      </c>
      <c r="B37">
        <v>65</v>
      </c>
      <c r="C37">
        <v>62</v>
      </c>
      <c r="D37" t="s">
        <v>381</v>
      </c>
      <c r="E37">
        <v>640852812</v>
      </c>
    </row>
    <row r="38" spans="1:5" x14ac:dyDescent="0.25">
      <c r="A38">
        <v>4162928042</v>
      </c>
      <c r="B38">
        <v>66</v>
      </c>
      <c r="C38">
        <v>63</v>
      </c>
      <c r="D38" t="s">
        <v>381</v>
      </c>
      <c r="E38">
        <v>4162928042</v>
      </c>
    </row>
    <row r="39" spans="1:5" x14ac:dyDescent="0.25">
      <c r="A39">
        <v>425022879</v>
      </c>
      <c r="B39">
        <v>67</v>
      </c>
      <c r="C39">
        <v>64</v>
      </c>
      <c r="D39" t="s">
        <v>381</v>
      </c>
      <c r="E39">
        <v>425022879</v>
      </c>
    </row>
    <row r="40" spans="1:5" x14ac:dyDescent="0.25">
      <c r="A40">
        <v>640859806</v>
      </c>
      <c r="B40">
        <v>68</v>
      </c>
      <c r="C40">
        <v>65</v>
      </c>
      <c r="D40" t="s">
        <v>381</v>
      </c>
      <c r="E40">
        <v>640859806</v>
      </c>
    </row>
    <row r="41" spans="1:5" x14ac:dyDescent="0.25">
      <c r="A41">
        <v>640852822</v>
      </c>
      <c r="B41">
        <v>69</v>
      </c>
      <c r="C41">
        <v>66</v>
      </c>
      <c r="D41" t="s">
        <v>381</v>
      </c>
      <c r="E41">
        <v>640852822</v>
      </c>
    </row>
    <row r="42" spans="1:5" x14ac:dyDescent="0.25">
      <c r="A42">
        <v>640852828</v>
      </c>
      <c r="B42">
        <v>70</v>
      </c>
      <c r="C42">
        <v>67</v>
      </c>
      <c r="D42" t="s">
        <v>381</v>
      </c>
      <c r="E42">
        <v>640852828</v>
      </c>
    </row>
    <row r="43" spans="1:5" x14ac:dyDescent="0.25">
      <c r="A43">
        <v>640853819</v>
      </c>
      <c r="B43">
        <v>71</v>
      </c>
      <c r="C43">
        <v>69</v>
      </c>
      <c r="D43" t="s">
        <v>381</v>
      </c>
      <c r="E43">
        <v>640853819</v>
      </c>
    </row>
    <row r="44" spans="1:5" x14ac:dyDescent="0.25">
      <c r="A44">
        <v>640852818</v>
      </c>
      <c r="B44">
        <v>72</v>
      </c>
      <c r="C44">
        <v>70</v>
      </c>
      <c r="D44" t="s">
        <v>378</v>
      </c>
      <c r="E44">
        <v>640852818</v>
      </c>
    </row>
    <row r="45" spans="1:5" x14ac:dyDescent="0.25">
      <c r="A45">
        <v>640853826</v>
      </c>
      <c r="B45">
        <v>73</v>
      </c>
      <c r="C45">
        <v>71</v>
      </c>
      <c r="D45" t="s">
        <v>378</v>
      </c>
      <c r="E45">
        <v>640853826</v>
      </c>
    </row>
    <row r="46" spans="1:5" x14ac:dyDescent="0.25">
      <c r="A46">
        <v>640853827</v>
      </c>
      <c r="B46">
        <v>74</v>
      </c>
      <c r="C46">
        <v>72</v>
      </c>
      <c r="D46" t="s">
        <v>378</v>
      </c>
      <c r="E46">
        <v>640853827</v>
      </c>
    </row>
    <row r="47" spans="1:5" x14ac:dyDescent="0.25">
      <c r="A47">
        <v>641009602</v>
      </c>
      <c r="B47">
        <v>75</v>
      </c>
      <c r="C47">
        <v>73</v>
      </c>
      <c r="D47" t="s">
        <v>380</v>
      </c>
      <c r="E47">
        <v>641009602</v>
      </c>
    </row>
    <row r="48" spans="1:5" x14ac:dyDescent="0.25">
      <c r="A48">
        <v>640853600</v>
      </c>
      <c r="B48">
        <v>76</v>
      </c>
      <c r="C48">
        <v>74</v>
      </c>
      <c r="D48" t="s">
        <v>380</v>
      </c>
      <c r="E48">
        <v>640853600</v>
      </c>
    </row>
    <row r="49" spans="1:5" x14ac:dyDescent="0.25">
      <c r="A49">
        <v>640859820</v>
      </c>
      <c r="B49">
        <v>77</v>
      </c>
      <c r="C49">
        <v>75</v>
      </c>
      <c r="D49" t="s">
        <v>380</v>
      </c>
      <c r="E49">
        <v>640859820</v>
      </c>
    </row>
    <row r="50" spans="1:5" x14ac:dyDescent="0.25">
      <c r="A50">
        <v>640852805</v>
      </c>
      <c r="B50">
        <v>78</v>
      </c>
      <c r="C50">
        <v>76</v>
      </c>
      <c r="D50" t="s">
        <v>380</v>
      </c>
      <c r="E50">
        <v>640852805</v>
      </c>
    </row>
    <row r="51" spans="1:5" x14ac:dyDescent="0.25">
      <c r="A51">
        <v>640852806</v>
      </c>
      <c r="B51">
        <v>79</v>
      </c>
      <c r="C51">
        <v>77</v>
      </c>
      <c r="D51" t="s">
        <v>380</v>
      </c>
      <c r="E51">
        <v>640852806</v>
      </c>
    </row>
    <row r="52" spans="1:5" x14ac:dyDescent="0.25">
      <c r="A52">
        <v>640852808</v>
      </c>
      <c r="B52">
        <v>80</v>
      </c>
      <c r="C52">
        <v>78</v>
      </c>
      <c r="D52" t="s">
        <v>380</v>
      </c>
      <c r="E52">
        <v>640852808</v>
      </c>
    </row>
    <row r="53" spans="1:5" x14ac:dyDescent="0.25">
      <c r="A53">
        <v>640852810</v>
      </c>
      <c r="B53">
        <v>81</v>
      </c>
      <c r="C53">
        <v>79</v>
      </c>
      <c r="D53" t="s">
        <v>380</v>
      </c>
      <c r="E53">
        <v>640852810</v>
      </c>
    </row>
    <row r="54" spans="1:5" x14ac:dyDescent="0.25">
      <c r="A54">
        <v>640852810</v>
      </c>
      <c r="B54">
        <v>82</v>
      </c>
      <c r="C54">
        <v>80</v>
      </c>
      <c r="D54" t="s">
        <v>380</v>
      </c>
      <c r="E54">
        <v>640852810</v>
      </c>
    </row>
    <row r="55" spans="1:5" x14ac:dyDescent="0.25">
      <c r="A55">
        <v>640852807</v>
      </c>
      <c r="B55">
        <v>83</v>
      </c>
      <c r="C55">
        <v>81</v>
      </c>
      <c r="D55" t="s">
        <v>380</v>
      </c>
      <c r="E55">
        <v>640852807</v>
      </c>
    </row>
    <row r="56" spans="1:5" x14ac:dyDescent="0.25">
      <c r="A56">
        <v>640853811</v>
      </c>
      <c r="B56">
        <v>84</v>
      </c>
      <c r="C56">
        <v>82</v>
      </c>
      <c r="D56" t="s">
        <v>380</v>
      </c>
      <c r="E56">
        <v>640853811</v>
      </c>
    </row>
    <row r="57" spans="1:5" x14ac:dyDescent="0.25">
      <c r="A57">
        <v>640853823</v>
      </c>
      <c r="B57">
        <v>85</v>
      </c>
      <c r="C57">
        <v>83</v>
      </c>
      <c r="D57" t="s">
        <v>380</v>
      </c>
      <c r="E57">
        <v>640853823</v>
      </c>
    </row>
    <row r="58" spans="1:5" x14ac:dyDescent="0.25">
      <c r="A58">
        <v>647060802</v>
      </c>
      <c r="B58">
        <v>86</v>
      </c>
      <c r="C58">
        <v>84</v>
      </c>
      <c r="D58" t="s">
        <v>380</v>
      </c>
      <c r="E58">
        <v>647060802</v>
      </c>
    </row>
    <row r="59" spans="1:5" x14ac:dyDescent="0.25">
      <c r="A59">
        <v>640858808</v>
      </c>
      <c r="B59">
        <v>87</v>
      </c>
      <c r="C59">
        <v>85</v>
      </c>
      <c r="D59" t="s">
        <v>380</v>
      </c>
      <c r="E59">
        <v>640858808</v>
      </c>
    </row>
    <row r="60" spans="1:5" x14ac:dyDescent="0.25">
      <c r="A60">
        <v>420832827</v>
      </c>
      <c r="B60">
        <v>88</v>
      </c>
      <c r="C60">
        <v>86</v>
      </c>
      <c r="D60" t="s">
        <v>380</v>
      </c>
      <c r="E60">
        <v>420832827</v>
      </c>
    </row>
    <row r="61" spans="1:5" x14ac:dyDescent="0.25">
      <c r="A61">
        <v>640851804</v>
      </c>
      <c r="B61">
        <v>90</v>
      </c>
      <c r="C61">
        <v>88</v>
      </c>
      <c r="D61" t="s">
        <v>380</v>
      </c>
      <c r="E61">
        <v>640851804</v>
      </c>
    </row>
    <row r="62" spans="1:5" x14ac:dyDescent="0.25">
      <c r="A62">
        <v>640858814</v>
      </c>
      <c r="B62">
        <v>91</v>
      </c>
      <c r="C62">
        <v>89</v>
      </c>
      <c r="D62" t="s">
        <v>380</v>
      </c>
      <c r="E62">
        <v>640858814</v>
      </c>
    </row>
    <row r="63" spans="1:5" x14ac:dyDescent="0.25">
      <c r="A63">
        <v>640858802</v>
      </c>
      <c r="B63">
        <v>92</v>
      </c>
      <c r="C63">
        <v>90</v>
      </c>
      <c r="D63" t="s">
        <v>380</v>
      </c>
      <c r="E63">
        <v>640858802</v>
      </c>
    </row>
    <row r="64" spans="1:5" x14ac:dyDescent="0.25">
      <c r="A64">
        <v>640858806</v>
      </c>
      <c r="B64">
        <v>93</v>
      </c>
      <c r="C64">
        <v>91</v>
      </c>
      <c r="D64" t="s">
        <v>380</v>
      </c>
      <c r="E64">
        <v>640858806</v>
      </c>
    </row>
    <row r="65" spans="1:5" x14ac:dyDescent="0.25">
      <c r="A65">
        <v>640858812</v>
      </c>
      <c r="B65">
        <v>94</v>
      </c>
      <c r="C65">
        <v>92</v>
      </c>
      <c r="D65" t="s">
        <v>380</v>
      </c>
      <c r="E65">
        <v>640858812</v>
      </c>
    </row>
    <row r="66" spans="1:5" x14ac:dyDescent="0.25">
      <c r="A66">
        <v>640858805</v>
      </c>
      <c r="B66">
        <v>95</v>
      </c>
      <c r="C66">
        <v>93</v>
      </c>
      <c r="D66" t="s">
        <v>380</v>
      </c>
      <c r="E66">
        <v>640858805</v>
      </c>
    </row>
    <row r="67" spans="1:5" x14ac:dyDescent="0.25">
      <c r="A67">
        <v>420832824</v>
      </c>
      <c r="B67">
        <v>96</v>
      </c>
      <c r="C67">
        <v>94</v>
      </c>
      <c r="D67" t="s">
        <v>380</v>
      </c>
      <c r="E67">
        <v>420832824</v>
      </c>
    </row>
    <row r="68" spans="1:5" x14ac:dyDescent="0.25">
      <c r="A68">
        <v>640859812</v>
      </c>
      <c r="B68">
        <v>97</v>
      </c>
      <c r="C68">
        <v>95</v>
      </c>
      <c r="D68" t="s">
        <v>380</v>
      </c>
      <c r="E68">
        <v>640859812</v>
      </c>
    </row>
    <row r="69" spans="1:5" x14ac:dyDescent="0.25">
      <c r="A69">
        <v>640852801</v>
      </c>
      <c r="B69">
        <v>98</v>
      </c>
      <c r="C69">
        <v>96</v>
      </c>
      <c r="D69" t="s">
        <v>381</v>
      </c>
      <c r="E69">
        <v>640852801</v>
      </c>
    </row>
    <row r="70" spans="1:5" x14ac:dyDescent="0.25">
      <c r="A70">
        <v>640852804</v>
      </c>
      <c r="B70">
        <v>99</v>
      </c>
      <c r="C70">
        <v>97</v>
      </c>
      <c r="D70" t="s">
        <v>381</v>
      </c>
      <c r="E70">
        <v>640852804</v>
      </c>
    </row>
    <row r="71" spans="1:5" x14ac:dyDescent="0.25">
      <c r="A71">
        <v>640852800</v>
      </c>
      <c r="B71">
        <v>100</v>
      </c>
      <c r="C71">
        <v>98</v>
      </c>
      <c r="D71" t="s">
        <v>381</v>
      </c>
      <c r="E71">
        <v>640852800</v>
      </c>
    </row>
    <row r="72" spans="1:5" x14ac:dyDescent="0.25">
      <c r="A72">
        <v>640853808</v>
      </c>
      <c r="B72">
        <v>101</v>
      </c>
      <c r="C72">
        <v>99</v>
      </c>
      <c r="D72" t="s">
        <v>381</v>
      </c>
      <c r="E72">
        <v>640853808</v>
      </c>
    </row>
    <row r="73" spans="1:5" x14ac:dyDescent="0.25">
      <c r="A73">
        <v>640853841</v>
      </c>
      <c r="B73">
        <v>102</v>
      </c>
      <c r="C73">
        <v>96</v>
      </c>
      <c r="D73" t="s">
        <v>380</v>
      </c>
      <c r="E73">
        <v>640853841</v>
      </c>
    </row>
    <row r="74" spans="1:5" x14ac:dyDescent="0.25">
      <c r="A74">
        <v>640854815</v>
      </c>
      <c r="B74">
        <v>103</v>
      </c>
      <c r="C74">
        <v>97</v>
      </c>
      <c r="D74" t="s">
        <v>386</v>
      </c>
      <c r="E74">
        <v>640854815</v>
      </c>
    </row>
    <row r="75" spans="1:5" x14ac:dyDescent="0.25">
      <c r="A75">
        <v>640859801</v>
      </c>
      <c r="B75">
        <v>126</v>
      </c>
      <c r="C75">
        <v>98</v>
      </c>
      <c r="D75" t="s">
        <v>378</v>
      </c>
      <c r="E75">
        <v>640859801</v>
      </c>
    </row>
    <row r="76" spans="1:5" x14ac:dyDescent="0.25">
      <c r="A76">
        <v>640851807</v>
      </c>
      <c r="B76">
        <v>127</v>
      </c>
      <c r="C76">
        <v>99</v>
      </c>
      <c r="D76" t="s">
        <v>384</v>
      </c>
      <c r="E76">
        <v>640851807</v>
      </c>
    </row>
    <row r="77" spans="1:5" x14ac:dyDescent="0.25">
      <c r="A77">
        <v>640852811</v>
      </c>
      <c r="B77">
        <v>128</v>
      </c>
      <c r="C77">
        <v>100</v>
      </c>
      <c r="D77" t="s">
        <v>381</v>
      </c>
      <c r="E77">
        <v>640852811</v>
      </c>
    </row>
    <row r="78" spans="1:5" x14ac:dyDescent="0.25">
      <c r="A78">
        <v>640859806</v>
      </c>
      <c r="B78">
        <v>129</v>
      </c>
      <c r="C78">
        <v>101</v>
      </c>
      <c r="D78" t="s">
        <v>381</v>
      </c>
      <c r="E78">
        <v>640859806</v>
      </c>
    </row>
    <row r="79" spans="1:5" x14ac:dyDescent="0.25">
      <c r="A79">
        <v>640852809</v>
      </c>
      <c r="B79">
        <v>130</v>
      </c>
      <c r="C79">
        <v>102</v>
      </c>
      <c r="D79" t="s">
        <v>380</v>
      </c>
      <c r="E79">
        <v>640852809</v>
      </c>
    </row>
    <row r="80" spans="1:5" x14ac:dyDescent="0.25">
      <c r="A80">
        <v>640853818</v>
      </c>
      <c r="B80">
        <v>131</v>
      </c>
      <c r="C80">
        <v>103</v>
      </c>
      <c r="D80" t="s">
        <v>380</v>
      </c>
      <c r="E80">
        <v>640853818</v>
      </c>
    </row>
    <row r="81" spans="1:5" x14ac:dyDescent="0.25">
      <c r="A81">
        <v>646203830</v>
      </c>
      <c r="B81">
        <v>132</v>
      </c>
      <c r="C81">
        <v>104</v>
      </c>
      <c r="D81" t="s">
        <v>381</v>
      </c>
      <c r="E81">
        <v>646203830</v>
      </c>
    </row>
    <row r="82" spans="1:5" x14ac:dyDescent="0.25">
      <c r="A82">
        <v>640853820</v>
      </c>
      <c r="B82">
        <v>134</v>
      </c>
      <c r="C82">
        <v>105</v>
      </c>
      <c r="D82" t="s">
        <v>381</v>
      </c>
      <c r="E82">
        <v>640853820</v>
      </c>
    </row>
    <row r="83" spans="1:5" x14ac:dyDescent="0.25">
      <c r="A83">
        <v>640853838</v>
      </c>
      <c r="B83">
        <v>135</v>
      </c>
      <c r="C83">
        <v>106</v>
      </c>
      <c r="D83" t="s">
        <v>378</v>
      </c>
      <c r="E83">
        <v>640853838</v>
      </c>
    </row>
    <row r="84" spans="1:5" x14ac:dyDescent="0.25">
      <c r="A84">
        <v>640853840</v>
      </c>
      <c r="B84">
        <v>136</v>
      </c>
      <c r="C84">
        <v>107</v>
      </c>
      <c r="D84" t="s">
        <v>378</v>
      </c>
      <c r="E84">
        <v>640853840</v>
      </c>
    </row>
    <row r="85" spans="1:5" x14ac:dyDescent="0.25">
      <c r="A85">
        <v>640853837</v>
      </c>
      <c r="B85">
        <v>137</v>
      </c>
      <c r="C85">
        <v>108</v>
      </c>
      <c r="D85" t="s">
        <v>378</v>
      </c>
      <c r="E85">
        <v>640853837</v>
      </c>
    </row>
    <row r="86" spans="1:5" x14ac:dyDescent="0.25">
      <c r="A86">
        <v>640853844</v>
      </c>
      <c r="B86">
        <v>138</v>
      </c>
      <c r="C86">
        <v>109</v>
      </c>
      <c r="D86" t="s">
        <v>387</v>
      </c>
      <c r="E86">
        <v>640853844</v>
      </c>
    </row>
    <row r="87" spans="1:5" x14ac:dyDescent="0.25">
      <c r="A87">
        <v>640854808</v>
      </c>
      <c r="B87">
        <v>139</v>
      </c>
      <c r="C87">
        <v>110</v>
      </c>
      <c r="D87" t="s">
        <v>381</v>
      </c>
      <c r="E87">
        <v>640854808</v>
      </c>
    </row>
    <row r="88" spans="1:5" x14ac:dyDescent="0.25">
      <c r="A88">
        <v>640854809</v>
      </c>
      <c r="B88">
        <v>140</v>
      </c>
      <c r="C88">
        <v>111</v>
      </c>
      <c r="D88" t="s">
        <v>381</v>
      </c>
      <c r="E88">
        <v>640854809</v>
      </c>
    </row>
    <row r="89" spans="1:5" x14ac:dyDescent="0.25">
      <c r="A89">
        <v>640854815</v>
      </c>
      <c r="B89">
        <v>141</v>
      </c>
      <c r="C89">
        <v>112</v>
      </c>
      <c r="D89" t="s">
        <v>384</v>
      </c>
      <c r="E89">
        <v>640854815</v>
      </c>
    </row>
    <row r="90" spans="1:5" x14ac:dyDescent="0.25">
      <c r="A90">
        <v>640854810</v>
      </c>
      <c r="B90">
        <v>142</v>
      </c>
      <c r="C90">
        <v>113</v>
      </c>
      <c r="D90" t="s">
        <v>384</v>
      </c>
      <c r="E90">
        <v>640854810</v>
      </c>
    </row>
    <row r="91" spans="1:5" x14ac:dyDescent="0.25">
      <c r="A91">
        <v>640854811</v>
      </c>
      <c r="B91">
        <v>143</v>
      </c>
      <c r="C91">
        <v>114</v>
      </c>
      <c r="D91" t="s">
        <v>384</v>
      </c>
      <c r="E91">
        <v>640854811</v>
      </c>
    </row>
    <row r="92" spans="1:5" x14ac:dyDescent="0.25">
      <c r="A92">
        <v>640854812</v>
      </c>
      <c r="B92">
        <v>144</v>
      </c>
      <c r="C92">
        <v>115</v>
      </c>
      <c r="D92" t="s">
        <v>384</v>
      </c>
      <c r="E92">
        <v>640854812</v>
      </c>
    </row>
    <row r="93" spans="1:5" x14ac:dyDescent="0.25">
      <c r="A93">
        <v>640854813</v>
      </c>
      <c r="B93">
        <v>145</v>
      </c>
      <c r="C93">
        <v>116</v>
      </c>
      <c r="D93" t="s">
        <v>384</v>
      </c>
      <c r="E93">
        <v>640854813</v>
      </c>
    </row>
    <row r="94" spans="1:5" x14ac:dyDescent="0.25">
      <c r="A94">
        <v>640854814</v>
      </c>
      <c r="B94">
        <v>146</v>
      </c>
      <c r="C94">
        <v>117</v>
      </c>
      <c r="D94" t="s">
        <v>384</v>
      </c>
      <c r="E94">
        <v>640854814</v>
      </c>
    </row>
    <row r="95" spans="1:5" x14ac:dyDescent="0.25">
      <c r="A95">
        <v>425022879</v>
      </c>
      <c r="B95">
        <v>147</v>
      </c>
      <c r="C95">
        <v>118</v>
      </c>
      <c r="D95" t="s">
        <v>381</v>
      </c>
      <c r="E95">
        <v>425022879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Proyectos</vt:lpstr>
      <vt:lpstr>Hoja7</vt:lpstr>
      <vt:lpstr>Hoja8</vt:lpstr>
      <vt:lpstr>Hoja2</vt:lpstr>
      <vt:lpstr>Hoja3</vt:lpstr>
      <vt:lpstr>Hoja6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Alejandro Arce Sánchez</dc:creator>
  <cp:lastModifiedBy>Jose Angel Soriano</cp:lastModifiedBy>
  <dcterms:created xsi:type="dcterms:W3CDTF">2024-08-09T22:31:38Z</dcterms:created>
  <dcterms:modified xsi:type="dcterms:W3CDTF">2024-08-10T16:50:21Z</dcterms:modified>
</cp:coreProperties>
</file>