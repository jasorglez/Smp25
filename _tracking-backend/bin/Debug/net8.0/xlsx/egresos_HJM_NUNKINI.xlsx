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cto\Desktop\Dev\TrabajoBiapp\MicroServicioTracking\Tracking\Tracking\xlsx\"/>
    </mc:Choice>
  </mc:AlternateContent>
  <xr:revisionPtr revIDLastSave="0" documentId="13_ncr:1_{EBE10BC2-68F0-4909-8A77-7AEC49178E0C}" xr6:coauthVersionLast="47" xr6:coauthVersionMax="47" xr10:uidLastSave="{00000000-0000-0000-0000-000000000000}"/>
  <x:bookViews>
    <x:workbookView xWindow="28680" yWindow="-120" windowWidth="19440" windowHeight="14880" firstSheet="0" activeTab="0" xr2:uid="{00000000-000D-0000-FFFF-FFFF00000000}"/>
  </x:bookViews>
  <x:sheets>
    <x:sheet name="Hoja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C4" i="1"/>
  <x:c r="C8" i="1"/>
  <x:c r="C15" i="1"/>
  <x:c r="C19" i="1"/>
  <x:c r="C24" i="1"/>
  <x:c r="C25" i="1"/>
  <x:c r="C26" i="1"/>
</x:calcChain>
</file>

<file path=xl/sharedStrings.xml><?xml version="1.0" encoding="utf-8"?>
<x:sst xmlns:x="http://schemas.openxmlformats.org/spreadsheetml/2006/main">
  <x:si>
    <x:t>H. JUNTA MUNICIPAL DE NUNKINI
2024-2027
CALLE 22 S/N ENTRE 17 Y 19, COLONIA CENTRO</x:t>
  </x:si>
  <x:si>
    <x:t>C. RAFAEL RENE</x:t>
  </x:si>
  <x:si>
    <x:t>MTRO. FELIPE CAHUM HAAS</x:t>
  </x:si>
  <x:si>
    <x:t>C. FELIX COLLI CHIM</x:t>
  </x:si>
  <x:si>
    <x:t>________________</x:t>
  </x:si>
  <x:si>
    <x:t>PRESIDENTE</x:t>
  </x:si>
  <x:si>
    <x:t>SINDICO DE HACIENDA</x:t>
  </x:si>
  <x:si>
    <x:t>TESORERO</x:t>
  </x:si>
  <x:si>
    <x:t>(IGUAL) = SALDO FINAL DEL MES</x:t>
  </x:si>
  <x:si>
    <x:t>(MENOS) - EGRESOS DEL MES</x:t>
  </x:si>
  <x:si>
    <x:t>(IGUAL) = TOTAL DISPONIBLES EN EL MES</x:t>
  </x:si>
  <x:si>
    <x:t>(MAS) + INGRESOS DEL MES</x:t>
  </x:si>
  <x:si>
    <x:t>SALDO INICIAL</x:t>
  </x:si>
  <x:si>
    <x:t>RESUMEN DE INGRESOS Y EGRESOS DEL MES DE DICIEMBRE 2025</x:t>
  </x:si>
  <x:si>
    <x:t>TOTAL DE EGRESOS</x:t>
  </x:si>
  <x:si>
    <x:t xml:space="preserve">   3821 Gastos de orden social y cultural</x:t>
  </x:si>
  <x:si>
    <x:t xml:space="preserve">   3491 Servicios financieros, bancarios y comerciales integrales</x:t>
  </x:si>
  <x:si>
    <x:t xml:space="preserve">   3291 Otros arrendamientos</x:t>
  </x:si>
  <x:si>
    <x:t>3000 SERVICIOS GENERALES</x:t>
  </x:si>
  <x:si>
    <x:t xml:space="preserve">   2611 Combustibles, lubricantes y aditivos</x:t>
  </x:si>
  <x:si>
    <x:t xml:space="preserve">   2491 Otros materiales y artículos de construcción y reparación</x:t>
  </x:si>
  <x:si>
    <x:t xml:space="preserve">   2211 Productos alimenticios para personas</x:t>
  </x:si>
  <x:si>
    <x:t xml:space="preserve">   2181 Materiales para el registro e identificación de bienes y personas</x:t>
  </x:si>
  <x:si>
    <x:t xml:space="preserve">   2161 Material de limpieza</x:t>
  </x:si>
  <x:si>
    <x:t xml:space="preserve">   2111 Materiales, útiles y equipos menores de oficina</x:t>
  </x:si>
  <x:si>
    <x:t>2000 MATERIALES Y SUMINISTROS</x:t>
  </x:si>
  <x:si>
    <x:t xml:space="preserve">   1521 Liquidaciones por indemnizaciones por sueldos y salarios caídos</x:t>
  </x:si>
  <x:si>
    <x:t xml:space="preserve">   1322 Aguinaldo o Gratificación de Fin de año</x:t>
  </x:si>
  <x:si>
    <x:t xml:space="preserve">   1131 Sueldos al personal de confianza</x:t>
  </x:si>
  <x:si>
    <x:t>1000 SERVICIOS PERSONALES</x:t>
  </x:si>
  <x:si>
    <x:t>%</x:t>
  </x:si>
  <x:si>
    <x:t>TOTAL</x:t>
  </x:si>
  <x:si>
    <x:t>SUBTOTAL</x:t>
  </x:si>
  <x:si>
    <x:t>CONCEPTO</x:t>
  </x:si>
  <x:si>
    <x:t>INFORME DE EGRESOS CORRESPONDIENTES AL MES DE DICIEMBRE 2025 DE LOS INGRESOS MUNICIPAL DE LA HJMN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</x:si>
</x:sst>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_(&quot;$&quot;* #,##0.00_);_(&quot;$&quot;* \(#,##0.00\);_(&quot;$&quot;* &quot;-&quot;??_);_(@_)"/>
    <x:numFmt numFmtId="165" formatCode="_(&quot;$&quot;* #,##0.00_);_(&quot;$&quot;* (#,##0.00);_(&quot;$&quot;* &quot;-&quot;??_);_(@_)"/>
  </x:numFmts>
  <x:fonts count="4" x14ac:knownFonts="1">
    <x:font>
      <x:sz val="11"/>
      <x:color theme="1"/>
      <x:name val="Calibri"/>
      <x:family val="2"/>
      <x:scheme val="minor"/>
    </x:font>
    <x:font>
      <x:b/>
      <x:sz val="8"/>
      <x:color theme="0" tint="-0.34998626667073579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600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9">
    <x:xf numFmtId="0" fontId="0" fillId="0" borderId="0" xfId="0"/>
    <x:xf numFmtId="164" fontId="0" fillId="0" borderId="1" xfId="0" applyNumberFormat="1" applyFill="1" applyBorder="1" applyAlignment="1" applyProtection="1">
      <x:alignment horizontal="right" vertical="center"/>
    </x:xf>
    <x:xf numFmtId="0" fontId="0" fillId="0" borderId="1" xfId="0" applyNumberFormat="1" applyFill="1" applyBorder="1" applyAlignment="1" applyProtection="1">
      <x:alignment horizontal="right" vertical="center"/>
    </x:xf>
    <x:xf numFmtId="164" fontId="2" fillId="2" borderId="1" xfId="0" applyNumberFormat="1" applyFont="1" applyFill="1" applyBorder="1" applyAlignment="1" applyProtection="1">
      <x:alignment horizontal="center" vertical="center"/>
    </x:xf>
    <x:xf numFmtId="164" fontId="2" fillId="2" borderId="1" xfId="0" applyNumberFormat="1" applyFont="1" applyFill="1" applyBorder="1" applyAlignment="1" applyProtection="1"/>
    <x:xf numFmtId="0" fontId="2" fillId="2" borderId="1" xfId="0" applyNumberFormat="1" applyFont="1" applyFill="1" applyBorder="1" applyAlignment="1" applyProtection="1"/>
    <x:xf numFmtId="0" fontId="2" fillId="2" borderId="1" xfId="0" applyNumberFormat="1" applyFont="1" applyFill="1" applyBorder="1" applyAlignment="1" applyProtection="1">
      <x:alignment horizontal="center"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2" fillId="0" borderId="1" xfId="0" applyNumberFormat="1" applyFont="1" applyFill="1" applyBorder="1" applyAlignment="1" applyProtection="1"/>
    <x:xf numFmtId="0" fontId="0" fillId="0" borderId="1" xfId="0" applyNumberFormat="1" applyFill="1" applyBorder="1" applyAlignment="1" applyProtection="1"/>
    <x:xf numFmtId="0" fontId="2" fillId="0" borderId="1" xfId="0" applyNumberFormat="1" applyFont="1" applyFill="1" applyBorder="1" applyAlignment="1" applyProtection="1">
      <x:alignment horizontal="center" vertical="center"/>
    </x:xf>
    <x:xf numFmtId="164" fontId="0" fillId="0" borderId="1" xfId="0" applyNumberFormat="1" applyFill="1" applyBorder="1" applyAlignment="1" applyProtection="1"/>
    <x:xf numFmtId="164" fontId="2" fillId="0" borderId="1" xfId="0" applyNumberFormat="1" applyFont="1" applyFill="1" applyBorder="1" applyAlignment="1" applyProtection="1"/>
    <x:xf numFmtId="164" fontId="2" fillId="2" borderId="1" xfId="0" applyNumberFormat="1" applyFont="1" applyFill="1" applyBorder="1" applyAlignment="1" applyProtection="1">
      <x:alignment horizontal="center" vertical="center"/>
    </x:xf>
    <x:xf numFmtId="0" fontId="0" fillId="2" borderId="1" xfId="0" applyNumberFormat="1" applyFill="1" applyBorder="1" applyAlignment="1" applyProtection="1"/>
    <x:xf numFmtId="164" fontId="0" fillId="0" borderId="0" xfId="0" applyNumberFormat="1" applyFill="1" applyAlignment="1" applyProtection="1"/>
    <x:xf numFmtId="164" fontId="0" fillId="0" borderId="0" xfId="0" applyNumberFormat="1" applyFill="1" applyAlignment="1" applyProtection="1">
      <x:alignment horizontal="center" vertical="center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552450</xdr:colOff>
      <xdr:row>0</xdr:row>
      <xdr:rowOff>95250</xdr:rowOff>
    </xdr:from>
    <xdr:ext cx="428625" cy="409575"/>
    <xdr:pic>
      <xdr:nvPicPr>
        <xdr:cNvPr id="1" name="Imagen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28625" cy="409575"/>
        </a:xfrm>
        <a:prstGeom prst="rect"/>
      </xdr:spPr>
    </xdr:pic>
    <xdr:clientData/>
  </xdr:oneCellAnchor>
  <xdr:oneCellAnchor>
    <xdr:from>
      <xdr:col>0</xdr:col>
      <xdr:colOff>1247775</xdr:colOff>
      <xdr:row>0</xdr:row>
      <xdr:rowOff>76200</xdr:rowOff>
    </xdr:from>
    <xdr:ext cx="381000" cy="428625"/>
    <xdr:pic>
      <xdr:nvPicPr>
        <xdr:cNvPr id="2" name="Imagen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381000" cy="428625"/>
        </a:xfrm>
        <a:prstGeom prst="rect"/>
      </xdr:spPr>
    </xdr:pic>
    <xdr:clientData/>
  </xdr:oneCellAnchor>
  <xdr:oneCellAnchor>
    <xdr:from>
      <xdr:col>2</xdr:col>
      <xdr:colOff>809625</xdr:colOff>
      <xdr:row>0</xdr:row>
      <xdr:rowOff>57150</xdr:rowOff>
    </xdr:from>
    <xdr:ext cx="1123950" cy="438150"/>
    <xdr:pic>
      <xdr:nvPicPr>
        <xdr:cNvPr id="3" name="Imagen 6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1123950" cy="4381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3"/>
  <x:sheetViews>
    <x:sheetView tabSelected="1" topLeftCell="A7" workbookViewId="0">
      <x:selection activeCell="D25" sqref="D25"/>
    </x:sheetView>
  </x:sheetViews>
  <x:sheetFormatPr baseColWidth="10" defaultColWidth="8.853482" defaultRowHeight="14.4" x14ac:dyDescent="0.3"/>
  <x:cols>
    <x:col min="1" max="1" width="79.886719" style="0" customWidth="1"/>
    <x:col min="2" max="2" width="25.441406" style="0" customWidth="1"/>
    <x:col min="3" max="3" width="16.332031" style="0" customWidth="1"/>
    <x:col min="4" max="4" width="15.332031" style="0" customWidth="1"/>
  </x:cols>
  <x:sheetData>
    <x:row r="1" spans="1:4" ht="45.6" customHeight="1" x14ac:dyDescent="0.3">
      <x:c r="A1" s="8" t="s">
        <x:v>0</x:v>
      </x:c>
      <x:c r="B1" s="7"/>
      <x:c r="C1" s="7"/>
      <x:c r="D1" s="7"/>
    </x:row>
    <x:row r="2" spans="1:4" x14ac:dyDescent="0.3">
      <x:c r="A2" s="19" t="s">
        <x:v>34</x:v>
      </x:c>
      <x:c r="B2" s="19"/>
      <x:c r="C2" s="19"/>
      <x:c r="D2" s="19"/>
    </x:row>
    <x:row r="3" spans="1:4" x14ac:dyDescent="0.3">
      <x:c r="A3" s="12" t="s">
        <x:v>33</x:v>
      </x:c>
      <x:c r="B3" s="12" t="s">
        <x:v>32</x:v>
      </x:c>
      <x:c r="C3" s="12" t="s">
        <x:v>31</x:v>
      </x:c>
      <x:c r="D3" s="12" t="s">
        <x:v>30</x:v>
      </x:c>
    </x:row>
    <x:row r="4" spans="1:4" x14ac:dyDescent="0.3">
      <x:c r="A4" s="10" t="s">
        <x:v>29</x:v>
      </x:c>
      <x:c r="B4" s="20"/>
      <x:c r="C4" s="21">
        <x:f>SUM(B5:B7)</x:f>
      </x:c>
      <x:c r="D4" s="11"/>
    </x:row>
    <x:row r="5" spans="1:4" x14ac:dyDescent="0.3">
      <x:c r="A5" s="11" t="s">
        <x:v>28</x:v>
      </x:c>
      <x:c r="B5" s="20">
        <x:v>298646.94</x:v>
      </x:c>
      <x:c r="C5" s="20"/>
      <x:c r="D5" s="11"/>
    </x:row>
    <x:row r="6" spans="1:4" x14ac:dyDescent="0.3">
      <x:c r="A6" s="11" t="s">
        <x:v>27</x:v>
      </x:c>
      <x:c r="B6" s="20">
        <x:v>409361.96</x:v>
      </x:c>
      <x:c r="C6" s="20"/>
      <x:c r="D6" s="11"/>
    </x:row>
    <x:row r="7" spans="1:4" x14ac:dyDescent="0.3">
      <x:c r="A7" s="11" t="s">
        <x:v>26</x:v>
      </x:c>
      <x:c r="B7" s="20">
        <x:v>14000</x:v>
      </x:c>
      <x:c r="C7" s="20"/>
      <x:c r="D7" s="11"/>
    </x:row>
    <x:row r="8" spans="1:4" x14ac:dyDescent="0.3">
      <x:c r="A8" s="10" t="s">
        <x:v>25</x:v>
      </x:c>
      <x:c r="B8" s="20"/>
      <x:c r="C8" s="21">
        <x:f>SUM(B9:B14)</x:f>
      </x:c>
      <x:c r="D8" s="11"/>
    </x:row>
    <x:row r="9" spans="1:4" x14ac:dyDescent="0.3">
      <x:c r="A9" s="11" t="s">
        <x:v>24</x:v>
      </x:c>
      <x:c r="B9" s="20">
        <x:v>2525.32</x:v>
      </x:c>
      <x:c r="C9" s="20"/>
      <x:c r="D9" s="11"/>
    </x:row>
    <x:row r="10" spans="1:4" x14ac:dyDescent="0.3">
      <x:c r="A10" s="11" t="s">
        <x:v>23</x:v>
      </x:c>
      <x:c r="B10" s="20">
        <x:v>1490.1</x:v>
      </x:c>
      <x:c r="C10" s="20"/>
      <x:c r="D10" s="11"/>
    </x:row>
    <x:row r="11" spans="1:4" x14ac:dyDescent="0.3">
      <x:c r="A11" s="11" t="s">
        <x:v>22</x:v>
      </x:c>
      <x:c r="B11" s="20">
        <x:v>10788</x:v>
      </x:c>
      <x:c r="C11" s="20"/>
      <x:c r="D11" s="11"/>
    </x:row>
    <x:row r="12" spans="1:4" x14ac:dyDescent="0.3">
      <x:c r="A12" s="11" t="s">
        <x:v>21</x:v>
      </x:c>
      <x:c r="B12" s="20">
        <x:v>10094.8</x:v>
      </x:c>
      <x:c r="C12" s="20"/>
      <x:c r="D12" s="11"/>
    </x:row>
    <x:row r="13" spans="1:4" x14ac:dyDescent="0.3">
      <x:c r="A13" s="11" t="s">
        <x:v>20</x:v>
      </x:c>
      <x:c r="B13" s="20">
        <x:v>19658</x:v>
      </x:c>
      <x:c r="C13" s="20"/>
      <x:c r="D13" s="11"/>
    </x:row>
    <x:row r="14" spans="1:4" x14ac:dyDescent="0.3">
      <x:c r="A14" s="11" t="s">
        <x:v>19</x:v>
      </x:c>
      <x:c r="B14" s="20">
        <x:v>4000</x:v>
      </x:c>
      <x:c r="C14" s="20"/>
      <x:c r="D14" s="11"/>
    </x:row>
    <x:row r="15" spans="1:4" x14ac:dyDescent="0.3">
      <x:c r="A15" s="10" t="s">
        <x:v>18</x:v>
      </x:c>
      <x:c r="B15" s="20"/>
      <x:c r="C15" s="21">
        <x:f>SUM(B16:B18)</x:f>
      </x:c>
      <x:c r="D15" s="11"/>
    </x:row>
    <x:row r="16" spans="1:4" x14ac:dyDescent="0.3">
      <x:c r="A16" s="11" t="s">
        <x:v>17</x:v>
      </x:c>
      <x:c r="B16" s="20">
        <x:v>603.2</x:v>
      </x:c>
      <x:c r="C16" s="20"/>
      <x:c r="D16" s="11"/>
    </x:row>
    <x:row r="17" spans="1:4" x14ac:dyDescent="0.3">
      <x:c r="A17" s="11" t="s">
        <x:v>16</x:v>
      </x:c>
      <x:c r="B17" s="20">
        <x:v>1095.04</x:v>
      </x:c>
      <x:c r="C17" s="20"/>
      <x:c r="D17" s="11"/>
    </x:row>
    <x:row r="18" spans="1:4" x14ac:dyDescent="0.3">
      <x:c r="A18" s="11" t="s">
        <x:v>15</x:v>
      </x:c>
      <x:c r="B18" s="20">
        <x:v>5832.7</x:v>
      </x:c>
      <x:c r="C18" s="20"/>
      <x:c r="D18" s="11"/>
    </x:row>
    <x:row r="19" spans="1:4">
      <x:c r="A19" s="22" t="s">
        <x:v>14</x:v>
      </x:c>
      <x:c r="B19" s="23"/>
      <x:c r="C19" s="24">
        <x:f>SUM(C4:C18)</x:f>
      </x:c>
      <x:c r="D19" s="25"/>
    </x:row>
    <x:row r="20" spans="1:4">
      <x:c r="B20" s="26"/>
      <x:c r="C20" s="26"/>
    </x:row>
    <x:row r="21" spans="1:4">
      <x:c r="A21" s="19" t="s">
        <x:v>13</x:v>
      </x:c>
      <x:c r="B21" s="24"/>
      <x:c r="C21" s="24"/>
    </x:row>
    <x:row r="22" spans="1:4">
      <x:c r="A22" s="2" t="s">
        <x:v>12</x:v>
      </x:c>
      <x:c r="B22" s="27"/>
      <x:c r="C22" s="20">
        <x:v>1022152.11</x:v>
      </x:c>
    </x:row>
    <x:row r="23" spans="1:4">
      <x:c r="A23" s="2" t="s">
        <x:v>11</x:v>
      </x:c>
      <x:c r="B23" s="27"/>
      <x:c r="C23" s="20">
        <x:v>456023.58</x:v>
      </x:c>
    </x:row>
    <x:row r="24" spans="1:4">
      <x:c r="A24" s="2" t="s">
        <x:v>10</x:v>
      </x:c>
      <x:c r="B24" s="27"/>
      <x:c r="C24" s="20">
        <x:f>SUM(C22:C23)</x:f>
      </x:c>
    </x:row>
    <x:row r="25" spans="1:4">
      <x:c r="A25" s="2" t="s">
        <x:v>9</x:v>
      </x:c>
      <x:c r="B25" s="27"/>
      <x:c r="C25" s="20">
        <x:f>C19</x:f>
      </x:c>
    </x:row>
    <x:row r="26" spans="1:4">
      <x:c r="A26" s="2" t="s">
        <x:v>8</x:v>
      </x:c>
      <x:c r="B26" s="27"/>
      <x:c r="C26" s="20">
        <x:f>C24-C25</x:f>
      </x:c>
    </x:row>
    <x:row r="27" spans="1:4">
      <x:c r="B27" s="26"/>
      <x:c r="C27" s="26"/>
    </x:row>
    <x:row r="28" spans="1:4">
      <x:c r="B28" s="26"/>
      <x:c r="C28" s="26"/>
    </x:row>
    <x:row r="29" spans="1:4">
      <x:c r="A29" s="7" t="s">
        <x:v>7</x:v>
      </x:c>
      <x:c r="B29" s="28" t="s">
        <x:v>6</x:v>
      </x:c>
      <x:c r="C29" s="28"/>
      <x:c r="D29" s="7" t="s">
        <x:v>5</x:v>
      </x:c>
    </x:row>
    <x:row r="30" spans="1:4">
      <x:c r="B30" s="26"/>
      <x:c r="C30" s="26"/>
    </x:row>
    <x:row r="31" spans="1:4">
      <x:c r="B31" s="26"/>
      <x:c r="C31" s="26"/>
    </x:row>
    <x:row r="32" spans="1:4">
      <x:c r="A32" s="7" t="s">
        <x:v>4</x:v>
      </x:c>
      <x:c r="B32" s="28" t="s">
        <x:v>4</x:v>
      </x:c>
      <x:c r="C32" s="28"/>
      <x:c r="D32" s="7" t="s">
        <x:v>4</x:v>
      </x:c>
    </x:row>
    <x:row r="33" spans="1:4">
      <x:c r="A33" s="7" t="s">
        <x:v>3</x:v>
      </x:c>
      <x:c r="B33" s="28" t="s">
        <x:v>2</x:v>
      </x:c>
      <x:c r="C33" s="28"/>
      <x:c r="D33" s="7" t="s">
        <x:v>1</x:v>
      </x:c>
    </x:row>
  </x:sheetData>
  <x:mergeCells count="9">
    <x:mergeCell ref="A1:D1"/>
    <x:mergeCell ref="A2:D2"/>
    <x:mergeCell ref="A19:B19"/>
    <x:mergeCell ref="A21:C21"/>
    <x:mergeCell ref="A22:B22"/>
    <x:mergeCell ref="A23:B23"/>
    <x:mergeCell ref="A24:B24"/>
    <x:mergeCell ref="A25:B25"/>
    <x:mergeCell ref="A26:B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Victor Blanco Reyes</dc:creator>
  <lastModifiedBy>Victor Blanco Reyes</lastModifiedBy>
  <dcterms:created xsi:type="dcterms:W3CDTF">2015-06-05T18:19:34.0000000Z</dcterms:created>
  <dcterms:modified xsi:type="dcterms:W3CDTF">2026-01-05T19:27:54.0000000Z</dcterms:modified>
</coreProperties>
</file>