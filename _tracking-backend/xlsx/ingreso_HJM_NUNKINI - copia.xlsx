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mpresas y Cotizaciones\Nunkiki\"/>
    </mc:Choice>
  </mc:AlternateContent>
  <xr:revisionPtr revIDLastSave="0" documentId="13_ncr:1_{6B93BD43-0B88-48AF-8698-36D84C203510}" xr6:coauthVersionLast="47" xr6:coauthVersionMax="47" xr10:uidLastSave="{00000000-0000-0000-0000-000000000000}"/>
  <bookViews>
    <workbookView xWindow="-120" yWindow="-120" windowWidth="29040" windowHeight="15720" xr2:uid="{9FF36E92-D9F0-4D4A-8B0B-F590CD1AF4DE}"/>
  </bookViews>
  <sheets>
    <sheet name="concentrado_mes" sheetId="9" r:id="rId1"/>
    <sheet name="INGRESO-OCT" sheetId="8" r:id="rId2"/>
    <sheet name="INGRESO-NOV" sheetId="7" r:id="rId3"/>
    <sheet name="INGRESO-DICIEMBRE" sheetId="6" r:id="rId4"/>
    <sheet name="ingreso -enero" sheetId="1" r:id="rId5"/>
    <sheet name="ingreso-febrero" sheetId="2" r:id="rId6"/>
    <sheet name="ingreso-marzo" sheetId="3" r:id="rId7"/>
    <sheet name="ingreso-abril" sheetId="4" r:id="rId8"/>
    <sheet name="ingreso-mayo" sheetId="5" r:id="rId9"/>
    <sheet name="ingreso-junio" sheetId="10" r:id="rId10"/>
    <sheet name="julio" sheetId="11" r:id="rId11"/>
    <sheet name="agosto" sheetId="12" r:id="rId12"/>
    <sheet name="Septiembre" sheetId="16" r:id="rId13"/>
  </sheets>
  <externalReferences>
    <externalReference r:id="rId14"/>
  </externalReferences>
  <definedNames>
    <definedName name="_xlnm.Print_Area" localSheetId="0">concentrado_mes!$C$1:$P$52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9" l="1"/>
  <c r="F56" i="9"/>
  <c r="F57" i="9" s="1"/>
  <c r="F54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P33" i="9" s="1"/>
  <c r="L34" i="9"/>
  <c r="L35" i="9"/>
  <c r="P35" i="9" s="1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" i="9"/>
  <c r="K6" i="9"/>
  <c r="K7" i="9"/>
  <c r="K8" i="9"/>
  <c r="K9" i="9"/>
  <c r="P9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P24" i="9" s="1"/>
  <c r="K25" i="9"/>
  <c r="P25" i="9" s="1"/>
  <c r="K26" i="9"/>
  <c r="K27" i="9"/>
  <c r="K28" i="9"/>
  <c r="K29" i="9"/>
  <c r="K30" i="9"/>
  <c r="P30" i="9" s="1"/>
  <c r="K31" i="9"/>
  <c r="P31" i="9" s="1"/>
  <c r="K32" i="9"/>
  <c r="K33" i="9"/>
  <c r="K34" i="9"/>
  <c r="K35" i="9"/>
  <c r="K36" i="9"/>
  <c r="K37" i="9"/>
  <c r="K38" i="9"/>
  <c r="K39" i="9"/>
  <c r="K40" i="9"/>
  <c r="P40" i="9" s="1"/>
  <c r="K41" i="9"/>
  <c r="K42" i="9"/>
  <c r="P42" i="9" s="1"/>
  <c r="K43" i="9"/>
  <c r="K44" i="9"/>
  <c r="K45" i="9"/>
  <c r="K46" i="9"/>
  <c r="K47" i="9"/>
  <c r="P47" i="9" s="1"/>
  <c r="K48" i="9"/>
  <c r="K49" i="9"/>
  <c r="K50" i="9"/>
  <c r="K5" i="9"/>
  <c r="E43" i="16"/>
  <c r="E37" i="16"/>
  <c r="E26" i="16"/>
  <c r="F29" i="16" s="1"/>
  <c r="E10" i="16"/>
  <c r="F22" i="16" s="1"/>
  <c r="E6" i="16"/>
  <c r="E43" i="12"/>
  <c r="E37" i="12"/>
  <c r="E26" i="12"/>
  <c r="F28" i="12" s="1"/>
  <c r="E10" i="12"/>
  <c r="F22" i="12" s="1"/>
  <c r="E6" i="12"/>
  <c r="E43" i="11"/>
  <c r="E37" i="11"/>
  <c r="E26" i="11"/>
  <c r="F29" i="11" s="1"/>
  <c r="E10" i="11"/>
  <c r="F19" i="11" s="1"/>
  <c r="E6" i="11"/>
  <c r="E26" i="10"/>
  <c r="E43" i="10"/>
  <c r="E37" i="10"/>
  <c r="F29" i="10"/>
  <c r="F28" i="10"/>
  <c r="F26" i="10" s="1"/>
  <c r="F22" i="10"/>
  <c r="F19" i="10"/>
  <c r="F18" i="10"/>
  <c r="F14" i="10"/>
  <c r="E10" i="10"/>
  <c r="E6" i="10"/>
  <c r="P23" i="9"/>
  <c r="P41" i="9"/>
  <c r="E26" i="4"/>
  <c r="F29" i="4" s="1"/>
  <c r="J51" i="9"/>
  <c r="F51" i="9"/>
  <c r="E51" i="9"/>
  <c r="E43" i="5"/>
  <c r="E37" i="5"/>
  <c r="F29" i="5"/>
  <c r="F28" i="5"/>
  <c r="F26" i="5" s="1"/>
  <c r="E10" i="5"/>
  <c r="F18" i="5" s="1"/>
  <c r="E6" i="5"/>
  <c r="E43" i="4"/>
  <c r="E37" i="4"/>
  <c r="E10" i="4"/>
  <c r="F14" i="4" s="1"/>
  <c r="E6" i="4"/>
  <c r="E6" i="6"/>
  <c r="E37" i="6"/>
  <c r="F29" i="6"/>
  <c r="F28" i="6"/>
  <c r="F26" i="6" s="1"/>
  <c r="E10" i="6"/>
  <c r="F14" i="6" s="1"/>
  <c r="P8" i="9" l="1"/>
  <c r="P7" i="9"/>
  <c r="P10" i="9"/>
  <c r="P27" i="9"/>
  <c r="P6" i="9"/>
  <c r="P39" i="9"/>
  <c r="F28" i="4"/>
  <c r="F26" i="4" s="1"/>
  <c r="E51" i="10"/>
  <c r="G37" i="10" s="1"/>
  <c r="P15" i="9"/>
  <c r="M51" i="9"/>
  <c r="N52" i="9" s="1"/>
  <c r="E51" i="16"/>
  <c r="P11" i="9"/>
  <c r="P22" i="9"/>
  <c r="P50" i="9"/>
  <c r="P34" i="9"/>
  <c r="P26" i="9"/>
  <c r="K51" i="9"/>
  <c r="K52" i="9" s="1"/>
  <c r="P43" i="9"/>
  <c r="P49" i="9"/>
  <c r="P17" i="9"/>
  <c r="N51" i="9"/>
  <c r="P38" i="9"/>
  <c r="P14" i="9"/>
  <c r="P29" i="9"/>
  <c r="L51" i="9"/>
  <c r="P18" i="9"/>
  <c r="P16" i="9"/>
  <c r="P46" i="9"/>
  <c r="P19" i="9"/>
  <c r="P48" i="9"/>
  <c r="P32" i="9"/>
  <c r="P28" i="9"/>
  <c r="P12" i="9"/>
  <c r="P21" i="9"/>
  <c r="P36" i="9"/>
  <c r="P20" i="9"/>
  <c r="P45" i="9"/>
  <c r="P37" i="9"/>
  <c r="P13" i="9"/>
  <c r="P44" i="9"/>
  <c r="F28" i="11"/>
  <c r="F26" i="11" s="1"/>
  <c r="F22" i="11"/>
  <c r="E51" i="11"/>
  <c r="G26" i="11" s="1"/>
  <c r="F14" i="11"/>
  <c r="F18" i="11"/>
  <c r="F29" i="12"/>
  <c r="F26" i="12" s="1"/>
  <c r="F18" i="12"/>
  <c r="E51" i="12"/>
  <c r="G10" i="12" s="1"/>
  <c r="F14" i="12"/>
  <c r="F19" i="12"/>
  <c r="G37" i="16"/>
  <c r="G43" i="16"/>
  <c r="G26" i="16"/>
  <c r="G10" i="16"/>
  <c r="F28" i="16"/>
  <c r="F26" i="16" s="1"/>
  <c r="F14" i="16"/>
  <c r="F18" i="16"/>
  <c r="F19" i="16"/>
  <c r="G10" i="11"/>
  <c r="F10" i="10"/>
  <c r="F14" i="5"/>
  <c r="F19" i="5"/>
  <c r="E51" i="5"/>
  <c r="G43" i="5" s="1"/>
  <c r="F22" i="5"/>
  <c r="E51" i="4"/>
  <c r="G26" i="4" s="1"/>
  <c r="F18" i="4"/>
  <c r="F19" i="4"/>
  <c r="F22" i="4"/>
  <c r="F19" i="6"/>
  <c r="F18" i="6"/>
  <c r="E51" i="6"/>
  <c r="G10" i="6" s="1"/>
  <c r="F22" i="6"/>
  <c r="E37" i="7"/>
  <c r="F29" i="7"/>
  <c r="F28" i="7"/>
  <c r="F26" i="7" s="1"/>
  <c r="E10" i="7"/>
  <c r="F18" i="7" s="1"/>
  <c r="I51" i="9"/>
  <c r="H51" i="9"/>
  <c r="G51" i="9"/>
  <c r="D51" i="9"/>
  <c r="E37" i="8"/>
  <c r="F29" i="8"/>
  <c r="F28" i="8"/>
  <c r="F26" i="8" s="1"/>
  <c r="E10" i="8"/>
  <c r="F14" i="8" s="1"/>
  <c r="E43" i="2"/>
  <c r="E26" i="2"/>
  <c r="F29" i="2" s="1"/>
  <c r="E37" i="2"/>
  <c r="F39" i="2" s="1"/>
  <c r="E10" i="2"/>
  <c r="F14" i="2" s="1"/>
  <c r="F29" i="1"/>
  <c r="F28" i="1"/>
  <c r="F26" i="1"/>
  <c r="E37" i="1"/>
  <c r="E10" i="1"/>
  <c r="E43" i="3"/>
  <c r="E37" i="3"/>
  <c r="E26" i="3"/>
  <c r="F29" i="3" s="1"/>
  <c r="E10" i="3"/>
  <c r="G43" i="10" l="1"/>
  <c r="G10" i="10"/>
  <c r="G51" i="10" s="1"/>
  <c r="G26" i="10"/>
  <c r="G37" i="11"/>
  <c r="F38" i="2"/>
  <c r="F37" i="2" s="1"/>
  <c r="F19" i="7"/>
  <c r="Q38" i="9"/>
  <c r="G43" i="11"/>
  <c r="G51" i="16"/>
  <c r="P51" i="9"/>
  <c r="Q51" i="9" s="1"/>
  <c r="H52" i="9"/>
  <c r="E52" i="9"/>
  <c r="F10" i="11"/>
  <c r="F10" i="12"/>
  <c r="G37" i="12"/>
  <c r="G43" i="12"/>
  <c r="G26" i="12"/>
  <c r="F10" i="16"/>
  <c r="G51" i="11"/>
  <c r="F10" i="5"/>
  <c r="G26" i="5"/>
  <c r="G37" i="5"/>
  <c r="G10" i="5"/>
  <c r="G37" i="4"/>
  <c r="G10" i="4"/>
  <c r="F10" i="4"/>
  <c r="G43" i="4"/>
  <c r="F10" i="6"/>
  <c r="G43" i="6"/>
  <c r="G37" i="6"/>
  <c r="G26" i="6"/>
  <c r="F14" i="7"/>
  <c r="F22" i="7"/>
  <c r="F10" i="7" s="1"/>
  <c r="E51" i="7"/>
  <c r="G26" i="7" s="1"/>
  <c r="F19" i="8"/>
  <c r="E51" i="8"/>
  <c r="F18" i="8"/>
  <c r="F22" i="8"/>
  <c r="F28" i="2"/>
  <c r="F26" i="2" s="1"/>
  <c r="E51" i="2"/>
  <c r="F18" i="2"/>
  <c r="F19" i="2"/>
  <c r="F22" i="2"/>
  <c r="F19" i="1"/>
  <c r="F14" i="1"/>
  <c r="F22" i="1"/>
  <c r="F18" i="1"/>
  <c r="F10" i="1" s="1"/>
  <c r="E51" i="1"/>
  <c r="E51" i="3"/>
  <c r="G10" i="3" s="1"/>
  <c r="F14" i="3"/>
  <c r="F18" i="3"/>
  <c r="F28" i="3"/>
  <c r="F26" i="3" s="1"/>
  <c r="F19" i="3"/>
  <c r="F22" i="3"/>
  <c r="G26" i="3"/>
  <c r="G37" i="3"/>
  <c r="G43" i="3"/>
  <c r="G51" i="12" l="1"/>
  <c r="G10" i="1"/>
  <c r="G26" i="1"/>
  <c r="S50" i="9"/>
  <c r="Q53" i="9"/>
  <c r="S48" i="9"/>
  <c r="G37" i="1"/>
  <c r="R54" i="9"/>
  <c r="G51" i="5"/>
  <c r="G51" i="4"/>
  <c r="G51" i="6"/>
  <c r="G37" i="7"/>
  <c r="G43" i="7"/>
  <c r="G10" i="7"/>
  <c r="F10" i="8"/>
  <c r="G37" i="8"/>
  <c r="G26" i="8"/>
  <c r="G43" i="8"/>
  <c r="G10" i="8"/>
  <c r="F10" i="2"/>
  <c r="G37" i="2"/>
  <c r="G26" i="2"/>
  <c r="G43" i="2"/>
  <c r="G10" i="2"/>
  <c r="G43" i="1"/>
  <c r="G51" i="3"/>
  <c r="F10" i="3"/>
  <c r="G51" i="7" l="1"/>
  <c r="G51" i="8"/>
  <c r="G51" i="2"/>
  <c r="G51" i="1"/>
</calcChain>
</file>

<file path=xl/sharedStrings.xml><?xml version="1.0" encoding="utf-8"?>
<sst xmlns="http://schemas.openxmlformats.org/spreadsheetml/2006/main" count="746" uniqueCount="118">
  <si>
    <t>INGRESO GENERAL</t>
  </si>
  <si>
    <t>Primer trimestre</t>
  </si>
  <si>
    <t>Segundo Trimestre</t>
  </si>
  <si>
    <t>Tercer Trimestre</t>
  </si>
  <si>
    <t>Cuarto Trimestre</t>
  </si>
  <si>
    <t>A</t>
  </si>
  <si>
    <t>CONCEPTO/MES</t>
  </si>
  <si>
    <t>OCT-24</t>
  </si>
  <si>
    <t>NOV-24</t>
  </si>
  <si>
    <t>DIC-24</t>
  </si>
  <si>
    <t>ENE-25</t>
  </si>
  <si>
    <t>FEB-25</t>
  </si>
  <si>
    <t>MAR-25</t>
  </si>
  <si>
    <t>ABR</t>
  </si>
  <si>
    <t>Mayo</t>
  </si>
  <si>
    <t>Junio</t>
  </si>
  <si>
    <t>julio</t>
  </si>
  <si>
    <t>Agosto</t>
  </si>
  <si>
    <t>Sept</t>
  </si>
  <si>
    <t>Total/Mes</t>
  </si>
  <si>
    <t xml:space="preserve">DIC-25 </t>
  </si>
  <si>
    <t>DIC-27</t>
  </si>
  <si>
    <t xml:space="preserve"> INGRESOS PROPIOS</t>
  </si>
  <si>
    <t>1.-IMPUESTOS</t>
  </si>
  <si>
    <t>1.1.-Predial</t>
  </si>
  <si>
    <t>1.2.-Sobre espectaculos publicos</t>
  </si>
  <si>
    <t xml:space="preserve">1.3.-sobre adquisiciòn de inmuebles </t>
  </si>
  <si>
    <t>2.- DERECHOS</t>
  </si>
  <si>
    <t>POR SERVICIOS PUBLICOS</t>
  </si>
  <si>
    <t>Derecho de piso</t>
  </si>
  <si>
    <t>Servicio de pantiones</t>
  </si>
  <si>
    <t>Servicio de recolecciòn de basura</t>
  </si>
  <si>
    <t>Por uso de Rastro publico</t>
  </si>
  <si>
    <t>POR AUTORIZACIÒN Y LICENCIAS DIVERSAS</t>
  </si>
  <si>
    <t>Por uso de suelo</t>
  </si>
  <si>
    <t>Licencia  de funcionamiento</t>
  </si>
  <si>
    <t>Por uso de la via publica</t>
  </si>
  <si>
    <t>POR EXPEDICIÒN DE CERTYIF., CONSTANCIAS Y DUPLICADOS.</t>
  </si>
  <si>
    <t xml:space="preserve">Certificados </t>
  </si>
  <si>
    <t>Constancias</t>
  </si>
  <si>
    <t>Duplicados</t>
  </si>
  <si>
    <t>Documentos de compra venta</t>
  </si>
  <si>
    <t>Otros derechos</t>
  </si>
  <si>
    <t>3.- PRODUCTOS</t>
  </si>
  <si>
    <t>POR ENAJENACIÒN DE BIENES E INMUEBLES</t>
  </si>
  <si>
    <t>Panteon Municipal (Lotes y Nichos)</t>
  </si>
  <si>
    <t>Panteon Municipal (Boveda)</t>
  </si>
  <si>
    <t>Mercado publico y Locales Comerciales</t>
  </si>
  <si>
    <t>Baños publicos</t>
  </si>
  <si>
    <t>Otros Productos (Ferias Tradicioners)</t>
  </si>
  <si>
    <t>4.- APROVECHAMIENTOS</t>
  </si>
  <si>
    <t>Rezagos</t>
  </si>
  <si>
    <t>Multas</t>
  </si>
  <si>
    <t>B</t>
  </si>
  <si>
    <t>INGRESOS POR PARTICIPACIÒN</t>
  </si>
  <si>
    <t>5.- PARTICIPACIONES</t>
  </si>
  <si>
    <t>Fondo Municipal</t>
  </si>
  <si>
    <t>Fondo Estatal</t>
  </si>
  <si>
    <t>Complemento de Fondo Estatal</t>
  </si>
  <si>
    <t>Fondo Municipal  de Prima Vacacional</t>
  </si>
  <si>
    <t>C</t>
  </si>
  <si>
    <t>INGRESOS EXTRAORDINARIOS</t>
  </si>
  <si>
    <t>6.- APOYO EXTRAORDINARIOS</t>
  </si>
  <si>
    <t>Donaciones</t>
  </si>
  <si>
    <t>Deboluciones pago de ISR</t>
  </si>
  <si>
    <t>Apoyo Extraordinario</t>
  </si>
  <si>
    <t>Otros Apoyos (Aguinaldo)</t>
  </si>
  <si>
    <t>D.- OTROS INGRESOS</t>
  </si>
  <si>
    <t>7.-Ajuste Anual</t>
  </si>
  <si>
    <t>8.- Prestamo</t>
  </si>
  <si>
    <t>ingreso total-ingreso (municipa + estatal)</t>
  </si>
  <si>
    <t xml:space="preserve">TOTAL DE INGRESOS DEL MES </t>
  </si>
  <si>
    <t>Ingreso propio</t>
  </si>
  <si>
    <t xml:space="preserve">Ingresos totales - Egresos Totales </t>
  </si>
  <si>
    <t>CONCEPTO</t>
  </si>
  <si>
    <t>SUB- TOTAL</t>
  </si>
  <si>
    <t>TOTAL</t>
  </si>
  <si>
    <t>% /RUBRO</t>
  </si>
  <si>
    <t>% GLOBAL</t>
  </si>
  <si>
    <t>Pantion Municipal (Lotes y Nichos)</t>
  </si>
  <si>
    <t>Pantion Municipal (Boveda)</t>
  </si>
  <si>
    <t>2.1.-Derecho de piso</t>
  </si>
  <si>
    <t>2.2.-Servicio de pantiones</t>
  </si>
  <si>
    <t>2.3.-Servicio de recolecciòn de basura</t>
  </si>
  <si>
    <t>2.4.-Por uso de Rastro publico</t>
  </si>
  <si>
    <t>2.5.-Por uso de suelo</t>
  </si>
  <si>
    <t>2.6.-Licencia  de funcionamiento</t>
  </si>
  <si>
    <t>2.7.-Por uso de la via publica</t>
  </si>
  <si>
    <t xml:space="preserve">2.8.-Certificados </t>
  </si>
  <si>
    <t>2.9.-Constancias</t>
  </si>
  <si>
    <t>2.10.-Duplicados</t>
  </si>
  <si>
    <t>2.11.-Documentos de compra venta</t>
  </si>
  <si>
    <t>2.12.-Otros derechos</t>
  </si>
  <si>
    <t>3.1.-Pantion Municipal (Lotes y Nichos)</t>
  </si>
  <si>
    <t>3.2.-Pantion Municipal (Boveda)</t>
  </si>
  <si>
    <t>3.3.-Mercado publico y Locales Comerciales</t>
  </si>
  <si>
    <t>3.4.-Baños publicos</t>
  </si>
  <si>
    <t>3.5.-Otros Productos (Ferias Tradicioners)</t>
  </si>
  <si>
    <t>4.1.-Rezagos</t>
  </si>
  <si>
    <t>4.2.-Multas</t>
  </si>
  <si>
    <t>5.1.-Fondo Municipal</t>
  </si>
  <si>
    <t>5.2.-Fondo Estatal</t>
  </si>
  <si>
    <t>5.3.-Complemento de Fondo Estatal</t>
  </si>
  <si>
    <t>5.4.-Fondo Municipal  de Prima Vacacional</t>
  </si>
  <si>
    <t>6.1.-Donaciones</t>
  </si>
  <si>
    <t>6.2.-Deboluciones pago de ISR</t>
  </si>
  <si>
    <t>6.3.-Apoyo Extraordinario</t>
  </si>
  <si>
    <t>6.4.-Otros Apoyos (Aguinaldo)</t>
  </si>
  <si>
    <t>1.2.-Sobre espectáculos públicos</t>
  </si>
  <si>
    <t xml:space="preserve">1.3.-sobre adquisición de inmuebles </t>
  </si>
  <si>
    <t>2.2.-Servicio de panteones</t>
  </si>
  <si>
    <t>2.3.-Servicio de recolección de basura</t>
  </si>
  <si>
    <t>2.7.-Por uso de la vía publica</t>
  </si>
  <si>
    <t>3.1.-Panteòn Municipal (Lotes y Nichos)</t>
  </si>
  <si>
    <t>3.2.-Panteon Municipal (Bóveda)</t>
  </si>
  <si>
    <t>3.4.-Baños públicos</t>
  </si>
  <si>
    <t>3.5.-Otros Productos (Ferias Tradiciones)</t>
  </si>
  <si>
    <t>8.- Préstamo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</si>
</sst>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#,##0_ ;\-#,##0\ "/>
    <numFmt numFmtId="166" formatCode="&quot;$&quot;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2" fillId="0" borderId="4" xfId="0" applyFont="1" applyBorder="1"/>
    <xf numFmtId="164" fontId="0" fillId="0" borderId="5" xfId="1" applyFont="1" applyBorder="1" applyAlignment="1">
      <alignment horizontal="center"/>
    </xf>
    <xf numFmtId="164" fontId="2" fillId="0" borderId="5" xfId="0" applyNumberFormat="1" applyFont="1" applyBorder="1"/>
    <xf numFmtId="0" fontId="0" fillId="0" borderId="7" xfId="0" applyBorder="1"/>
    <xf numFmtId="0" fontId="0" fillId="0" borderId="9" xfId="0" applyBorder="1"/>
    <xf numFmtId="164" fontId="0" fillId="0" borderId="10" xfId="1" applyFont="1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2" fillId="0" borderId="12" xfId="0" applyFont="1" applyBorder="1"/>
    <xf numFmtId="164" fontId="0" fillId="0" borderId="12" xfId="1" applyFont="1" applyBorder="1" applyAlignment="1">
      <alignment horizontal="center"/>
    </xf>
    <xf numFmtId="0" fontId="0" fillId="0" borderId="12" xfId="0" applyBorder="1"/>
    <xf numFmtId="164" fontId="2" fillId="0" borderId="12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/>
    <xf numFmtId="164" fontId="0" fillId="0" borderId="5" xfId="0" applyNumberFormat="1" applyBorder="1"/>
    <xf numFmtId="0" fontId="0" fillId="0" borderId="4" xfId="0" applyBorder="1"/>
    <xf numFmtId="164" fontId="1" fillId="0" borderId="5" xfId="1" applyFont="1" applyBorder="1" applyAlignment="1">
      <alignment horizontal="center"/>
    </xf>
    <xf numFmtId="0" fontId="0" fillId="0" borderId="13" xfId="0" applyBorder="1"/>
    <xf numFmtId="164" fontId="1" fillId="0" borderId="3" xfId="1" applyFont="1" applyBorder="1" applyAlignment="1">
      <alignment horizontal="center"/>
    </xf>
    <xf numFmtId="0" fontId="0" fillId="0" borderId="3" xfId="0" applyBorder="1"/>
    <xf numFmtId="164" fontId="1" fillId="0" borderId="16" xfId="1" applyFont="1" applyBorder="1" applyAlignment="1">
      <alignment horizontal="center"/>
    </xf>
    <xf numFmtId="164" fontId="2" fillId="0" borderId="16" xfId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5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164" fontId="2" fillId="0" borderId="18" xfId="0" applyNumberFormat="1" applyFont="1" applyBorder="1"/>
    <xf numFmtId="164" fontId="2" fillId="0" borderId="22" xfId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5" fontId="2" fillId="0" borderId="18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1" fontId="0" fillId="0" borderId="20" xfId="0" applyNumberFormat="1" applyBorder="1" applyAlignment="1">
      <alignment horizontal="center"/>
    </xf>
    <xf numFmtId="0" fontId="2" fillId="0" borderId="28" xfId="0" applyFont="1" applyBorder="1"/>
    <xf numFmtId="164" fontId="0" fillId="0" borderId="29" xfId="1" applyFont="1" applyBorder="1" applyAlignment="1">
      <alignment horizontal="center"/>
    </xf>
    <xf numFmtId="0" fontId="2" fillId="0" borderId="15" xfId="0" applyFont="1" applyBorder="1"/>
    <xf numFmtId="164" fontId="0" fillId="0" borderId="16" xfId="1" applyFont="1" applyBorder="1" applyAlignment="1">
      <alignment horizontal="center"/>
    </xf>
    <xf numFmtId="0" fontId="2" fillId="0" borderId="7" xfId="0" applyFont="1" applyBorder="1"/>
    <xf numFmtId="164" fontId="0" fillId="0" borderId="20" xfId="1" applyFont="1" applyBorder="1"/>
    <xf numFmtId="164" fontId="0" fillId="0" borderId="19" xfId="1" applyFont="1" applyBorder="1"/>
    <xf numFmtId="0" fontId="0" fillId="0" borderId="30" xfId="0" applyBorder="1"/>
    <xf numFmtId="0" fontId="0" fillId="0" borderId="32" xfId="0" applyBorder="1" applyAlignment="1">
      <alignment horizontal="center"/>
    </xf>
    <xf numFmtId="0" fontId="2" fillId="0" borderId="33" xfId="0" applyFont="1" applyBorder="1" applyAlignment="1">
      <alignment horizontal="center"/>
    </xf>
    <xf numFmtId="164" fontId="2" fillId="0" borderId="22" xfId="0" applyNumberFormat="1" applyFont="1" applyBorder="1"/>
    <xf numFmtId="2" fontId="2" fillId="0" borderId="34" xfId="0" applyNumberFormat="1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/>
    </xf>
    <xf numFmtId="164" fontId="2" fillId="0" borderId="16" xfId="0" applyNumberFormat="1" applyFont="1" applyBorder="1"/>
    <xf numFmtId="165" fontId="2" fillId="0" borderId="22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164" fontId="0" fillId="0" borderId="0" xfId="0" applyNumberFormat="1"/>
    <xf numFmtId="0" fontId="2" fillId="0" borderId="36" xfId="0" applyFont="1" applyBorder="1"/>
    <xf numFmtId="0" fontId="0" fillId="0" borderId="38" xfId="0" applyBorder="1"/>
    <xf numFmtId="0" fontId="0" fillId="0" borderId="39" xfId="0" applyBorder="1"/>
    <xf numFmtId="0" fontId="0" fillId="0" borderId="37" xfId="0" applyBorder="1"/>
    <xf numFmtId="0" fontId="2" fillId="0" borderId="35" xfId="0" applyFont="1" applyBorder="1"/>
    <xf numFmtId="0" fontId="2" fillId="0" borderId="40" xfId="0" applyFont="1" applyBorder="1"/>
    <xf numFmtId="0" fontId="0" fillId="0" borderId="40" xfId="0" applyBorder="1"/>
    <xf numFmtId="0" fontId="2" fillId="0" borderId="35" xfId="0" applyFont="1" applyBorder="1" applyAlignment="1">
      <alignment horizontal="left"/>
    </xf>
    <xf numFmtId="164" fontId="0" fillId="0" borderId="13" xfId="1" applyFont="1" applyBorder="1" applyAlignment="1">
      <alignment horizontal="center"/>
    </xf>
    <xf numFmtId="164" fontId="0" fillId="0" borderId="4" xfId="1" applyFont="1" applyBorder="1" applyAlignment="1">
      <alignment horizontal="center"/>
    </xf>
    <xf numFmtId="164" fontId="0" fillId="0" borderId="6" xfId="1" applyFont="1" applyBorder="1" applyAlignment="1">
      <alignment horizontal="center"/>
    </xf>
    <xf numFmtId="164" fontId="0" fillId="0" borderId="7" xfId="1" applyFont="1" applyBorder="1" applyAlignment="1">
      <alignment horizontal="center"/>
    </xf>
    <xf numFmtId="164" fontId="0" fillId="0" borderId="8" xfId="1" applyFont="1" applyBorder="1" applyAlignment="1">
      <alignment horizontal="center"/>
    </xf>
    <xf numFmtId="164" fontId="0" fillId="0" borderId="9" xfId="1" applyFont="1" applyBorder="1" applyAlignment="1">
      <alignment horizontal="center"/>
    </xf>
    <xf numFmtId="164" fontId="0" fillId="0" borderId="15" xfId="1" applyFont="1" applyBorder="1" applyAlignment="1">
      <alignment horizontal="center"/>
    </xf>
    <xf numFmtId="164" fontId="0" fillId="0" borderId="28" xfId="1" applyFont="1" applyBorder="1" applyAlignment="1">
      <alignment horizontal="center"/>
    </xf>
    <xf numFmtId="164" fontId="2" fillId="0" borderId="15" xfId="1" applyFont="1" applyBorder="1" applyAlignment="1">
      <alignment horizontal="center"/>
    </xf>
    <xf numFmtId="164" fontId="1" fillId="0" borderId="13" xfId="1" applyFont="1" applyBorder="1" applyAlignment="1">
      <alignment horizontal="center"/>
    </xf>
    <xf numFmtId="164" fontId="0" fillId="0" borderId="44" xfId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0" fillId="3" borderId="0" xfId="1" applyFont="1" applyFill="1" applyAlignment="1">
      <alignment horizontal="center"/>
    </xf>
    <xf numFmtId="164" fontId="2" fillId="3" borderId="5" xfId="1" applyFont="1" applyFill="1" applyBorder="1" applyAlignment="1">
      <alignment horizontal="center"/>
    </xf>
    <xf numFmtId="164" fontId="0" fillId="3" borderId="10" xfId="1" applyFont="1" applyFill="1" applyBorder="1" applyAlignment="1">
      <alignment horizontal="center"/>
    </xf>
    <xf numFmtId="164" fontId="0" fillId="3" borderId="5" xfId="1" applyFont="1" applyFill="1" applyBorder="1" applyAlignment="1">
      <alignment horizontal="center"/>
    </xf>
    <xf numFmtId="164" fontId="0" fillId="3" borderId="1" xfId="1" applyFont="1" applyFill="1" applyBorder="1" applyAlignment="1">
      <alignment horizontal="center"/>
    </xf>
    <xf numFmtId="164" fontId="0" fillId="3" borderId="12" xfId="1" applyFont="1" applyFill="1" applyBorder="1" applyAlignment="1">
      <alignment horizontal="center"/>
    </xf>
    <xf numFmtId="164" fontId="2" fillId="3" borderId="12" xfId="1" applyFont="1" applyFill="1" applyBorder="1" applyAlignment="1">
      <alignment horizontal="center"/>
    </xf>
    <xf numFmtId="164" fontId="1" fillId="3" borderId="5" xfId="1" applyFont="1" applyFill="1" applyBorder="1" applyAlignment="1">
      <alignment horizontal="center"/>
    </xf>
    <xf numFmtId="164" fontId="1" fillId="3" borderId="3" xfId="1" applyFont="1" applyFill="1" applyBorder="1" applyAlignment="1">
      <alignment horizontal="center"/>
    </xf>
    <xf numFmtId="164" fontId="1" fillId="3" borderId="16" xfId="1" applyFont="1" applyFill="1" applyBorder="1" applyAlignment="1">
      <alignment horizontal="center"/>
    </xf>
    <xf numFmtId="164" fontId="1" fillId="0" borderId="1" xfId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64" fontId="0" fillId="0" borderId="36" xfId="1" applyFont="1" applyBorder="1" applyAlignment="1">
      <alignment horizontal="center"/>
    </xf>
    <xf numFmtId="164" fontId="0" fillId="0" borderId="38" xfId="1" applyFont="1" applyBorder="1" applyAlignment="1">
      <alignment horizontal="center"/>
    </xf>
    <xf numFmtId="164" fontId="0" fillId="0" borderId="39" xfId="1" applyFont="1" applyBorder="1" applyAlignment="1">
      <alignment horizontal="center"/>
    </xf>
    <xf numFmtId="164" fontId="0" fillId="0" borderId="3" xfId="1" applyFont="1" applyBorder="1" applyAlignment="1">
      <alignment horizontal="center"/>
    </xf>
    <xf numFmtId="164" fontId="0" fillId="0" borderId="30" xfId="1" applyFont="1" applyBorder="1"/>
    <xf numFmtId="0" fontId="0" fillId="0" borderId="35" xfId="0" applyBorder="1"/>
    <xf numFmtId="0" fontId="0" fillId="0" borderId="43" xfId="0" applyBorder="1" applyAlignment="1">
      <alignment horizontal="right"/>
    </xf>
    <xf numFmtId="164" fontId="2" fillId="0" borderId="22" xfId="1" applyFont="1" applyBorder="1"/>
    <xf numFmtId="164" fontId="6" fillId="0" borderId="16" xfId="1" applyFont="1" applyBorder="1" applyAlignment="1">
      <alignment wrapText="1"/>
    </xf>
    <xf numFmtId="0" fontId="2" fillId="0" borderId="3" xfId="0" applyFont="1" applyBorder="1"/>
    <xf numFmtId="166" fontId="0" fillId="0" borderId="34" xfId="0" applyNumberFormat="1" applyBorder="1" applyAlignment="1">
      <alignment horizontal="center"/>
    </xf>
    <xf numFmtId="164" fontId="1" fillId="0" borderId="15" xfId="1" applyFont="1" applyBorder="1" applyAlignment="1">
      <alignment horizontal="center"/>
    </xf>
    <xf numFmtId="164" fontId="1" fillId="0" borderId="7" xfId="1" applyFont="1" applyBorder="1" applyAlignment="1">
      <alignment horizontal="center"/>
    </xf>
    <xf numFmtId="0" fontId="2" fillId="0" borderId="41" xfId="0" applyFont="1" applyBorder="1"/>
    <xf numFmtId="164" fontId="0" fillId="0" borderId="46" xfId="1" applyFont="1" applyBorder="1" applyAlignment="1">
      <alignment horizontal="center"/>
    </xf>
    <xf numFmtId="164" fontId="0" fillId="0" borderId="47" xfId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4" xfId="0" applyBorder="1"/>
    <xf numFmtId="166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1" applyFont="1" applyFill="1" applyAlignment="1">
      <alignment horizontal="center"/>
    </xf>
    <xf numFmtId="164" fontId="2" fillId="4" borderId="5" xfId="1" applyFont="1" applyFill="1" applyBorder="1" applyAlignment="1">
      <alignment horizontal="center"/>
    </xf>
    <xf numFmtId="164" fontId="0" fillId="4" borderId="10" xfId="1" applyFont="1" applyFill="1" applyBorder="1" applyAlignment="1">
      <alignment horizontal="center"/>
    </xf>
    <xf numFmtId="164" fontId="0" fillId="4" borderId="5" xfId="1" applyFont="1" applyFill="1" applyBorder="1" applyAlignment="1">
      <alignment horizontal="center"/>
    </xf>
    <xf numFmtId="164" fontId="0" fillId="4" borderId="1" xfId="1" applyFont="1" applyFill="1" applyBorder="1" applyAlignment="1">
      <alignment horizontal="center"/>
    </xf>
    <xf numFmtId="164" fontId="0" fillId="4" borderId="12" xfId="1" applyFont="1" applyFill="1" applyBorder="1" applyAlignment="1">
      <alignment horizontal="center"/>
    </xf>
    <xf numFmtId="164" fontId="2" fillId="4" borderId="12" xfId="1" applyFont="1" applyFill="1" applyBorder="1" applyAlignment="1">
      <alignment horizontal="center"/>
    </xf>
    <xf numFmtId="164" fontId="1" fillId="4" borderId="5" xfId="1" applyFont="1" applyFill="1" applyBorder="1" applyAlignment="1">
      <alignment horizontal="center"/>
    </xf>
    <xf numFmtId="164" fontId="1" fillId="4" borderId="3" xfId="1" applyFont="1" applyFill="1" applyBorder="1" applyAlignment="1">
      <alignment horizontal="center"/>
    </xf>
    <xf numFmtId="164" fontId="1" fillId="4" borderId="16" xfId="1" applyFont="1" applyFill="1" applyBorder="1" applyAlignment="1">
      <alignment horizontal="center"/>
    </xf>
    <xf numFmtId="164" fontId="0" fillId="0" borderId="0" xfId="1" applyFont="1" applyFill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0" fillId="0" borderId="10" xfId="1" applyFont="1" applyFill="1" applyBorder="1" applyAlignment="1">
      <alignment horizontal="center"/>
    </xf>
    <xf numFmtId="164" fontId="0" fillId="0" borderId="5" xfId="1" applyFont="1" applyFill="1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4" fontId="0" fillId="0" borderId="12" xfId="1" applyFont="1" applyFill="1" applyBorder="1" applyAlignment="1">
      <alignment horizontal="center"/>
    </xf>
    <xf numFmtId="164" fontId="2" fillId="0" borderId="12" xfId="1" applyFont="1" applyFill="1" applyBorder="1" applyAlignment="1">
      <alignment horizontal="center"/>
    </xf>
    <xf numFmtId="164" fontId="1" fillId="0" borderId="5" xfId="1" applyFont="1" applyFill="1" applyBorder="1" applyAlignment="1">
      <alignment horizontal="center"/>
    </xf>
    <xf numFmtId="164" fontId="1" fillId="0" borderId="3" xfId="1" applyFont="1" applyFill="1" applyBorder="1" applyAlignment="1">
      <alignment horizontal="center"/>
    </xf>
    <xf numFmtId="164" fontId="1" fillId="0" borderId="16" xfId="1" applyFont="1" applyFill="1" applyBorder="1" applyAlignment="1">
      <alignment horizontal="center"/>
    </xf>
    <xf numFmtId="164" fontId="0" fillId="0" borderId="1" xfId="0" applyNumberFormat="1" applyBorder="1"/>
    <xf numFmtId="164" fontId="1" fillId="0" borderId="42" xfId="1" applyFont="1" applyBorder="1" applyAlignment="1">
      <alignment horizontal="center"/>
    </xf>
    <xf numFmtId="164" fontId="0" fillId="0" borderId="3" xfId="0" applyNumberFormat="1" applyBorder="1"/>
    <xf numFmtId="164" fontId="5" fillId="0" borderId="22" xfId="1" applyFont="1" applyBorder="1" applyAlignment="1"/>
    <xf numFmtId="164" fontId="1" fillId="0" borderId="8" xfId="1" applyFont="1" applyBorder="1" applyAlignment="1">
      <alignment horizontal="center"/>
    </xf>
    <xf numFmtId="164" fontId="0" fillId="0" borderId="35" xfId="0" applyNumberFormat="1" applyBorder="1"/>
    <xf numFmtId="0" fontId="0" fillId="0" borderId="43" xfId="0" applyBorder="1"/>
    <xf numFmtId="164" fontId="0" fillId="0" borderId="49" xfId="1" applyFont="1" applyBorder="1"/>
    <xf numFmtId="164" fontId="0" fillId="0" borderId="18" xfId="1" applyFont="1" applyBorder="1"/>
    <xf numFmtId="164" fontId="0" fillId="0" borderId="21" xfId="1" applyFont="1" applyBorder="1"/>
    <xf numFmtId="164" fontId="0" fillId="0" borderId="22" xfId="1" applyFont="1" applyBorder="1"/>
    <xf numFmtId="0" fontId="2" fillId="0" borderId="54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164" fontId="1" fillId="0" borderId="48" xfId="1" applyFont="1" applyBorder="1" applyAlignment="1">
      <alignment horizontal="center"/>
    </xf>
    <xf numFmtId="164" fontId="1" fillId="0" borderId="51" xfId="1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164" fontId="2" fillId="0" borderId="7" xfId="1" applyFont="1" applyBorder="1" applyAlignment="1">
      <alignment horizontal="center"/>
    </xf>
    <xf numFmtId="164" fontId="1" fillId="0" borderId="10" xfId="1" applyFont="1" applyBorder="1" applyAlignment="1">
      <alignment horizontal="center"/>
    </xf>
    <xf numFmtId="164" fontId="0" fillId="0" borderId="10" xfId="0" applyNumberFormat="1" applyBorder="1"/>
    <xf numFmtId="164" fontId="2" fillId="0" borderId="38" xfId="1" applyFont="1" applyBorder="1" applyAlignment="1">
      <alignment horizontal="center"/>
    </xf>
    <xf numFmtId="164" fontId="2" fillId="0" borderId="8" xfId="1" applyFont="1" applyBorder="1" applyAlignment="1">
      <alignment horizontal="center"/>
    </xf>
    <xf numFmtId="164" fontId="1" fillId="0" borderId="9" xfId="1" applyFont="1" applyBorder="1" applyAlignment="1">
      <alignment horizontal="center"/>
    </xf>
    <xf numFmtId="164" fontId="1" fillId="0" borderId="11" xfId="1" applyFont="1" applyBorder="1" applyAlignment="1">
      <alignment horizontal="center"/>
    </xf>
    <xf numFmtId="164" fontId="0" fillId="0" borderId="6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0" fontId="2" fillId="0" borderId="13" xfId="0" applyFont="1" applyBorder="1" applyAlignment="1">
      <alignment horizontal="center"/>
    </xf>
    <xf numFmtId="164" fontId="0" fillId="0" borderId="4" xfId="0" applyNumberFormat="1" applyBorder="1"/>
    <xf numFmtId="164" fontId="0" fillId="0" borderId="7" xfId="0" applyNumberFormat="1" applyBorder="1"/>
    <xf numFmtId="164" fontId="0" fillId="0" borderId="13" xfId="0" applyNumberFormat="1" applyBorder="1"/>
    <xf numFmtId="0" fontId="0" fillId="0" borderId="46" xfId="0" applyBorder="1"/>
    <xf numFmtId="164" fontId="6" fillId="0" borderId="43" xfId="0" applyNumberFormat="1" applyFont="1" applyBorder="1"/>
    <xf numFmtId="164" fontId="7" fillId="0" borderId="43" xfId="0" applyNumberFormat="1" applyFont="1" applyBorder="1"/>
    <xf numFmtId="164" fontId="7" fillId="0" borderId="47" xfId="0" applyNumberFormat="1" applyFont="1" applyBorder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/>
    <xf numFmtId="164" fontId="0" fillId="0" borderId="36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0" fontId="2" fillId="0" borderId="0" xfId="0" applyFont="1"/>
    <xf numFmtId="4" fontId="2" fillId="0" borderId="56" xfId="0" applyNumberFormat="1" applyFont="1" applyBorder="1" applyAlignment="1">
      <alignment horizontal="center"/>
    </xf>
    <xf numFmtId="4" fontId="1" fillId="0" borderId="16" xfId="1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5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2" fillId="0" borderId="49" xfId="0" applyFont="1" applyBorder="1"/>
    <xf numFmtId="166" fontId="0" fillId="0" borderId="31" xfId="0" applyNumberFormat="1" applyBorder="1" applyAlignment="1">
      <alignment horizontal="center"/>
    </xf>
    <xf numFmtId="0" fontId="2" fillId="0" borderId="42" xfId="0" applyFont="1" applyBorder="1"/>
    <xf numFmtId="0" fontId="0" fillId="0" borderId="47" xfId="0" applyBorder="1"/>
    <xf numFmtId="0" fontId="0" fillId="0" borderId="47" xfId="0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0" fillId="0" borderId="21" xfId="0" applyBorder="1"/>
    <xf numFmtId="0" fontId="0" fillId="0" borderId="61" xfId="0" applyBorder="1" applyAlignment="1">
      <alignment horizontal="center"/>
    </xf>
    <xf numFmtId="0" fontId="2" fillId="0" borderId="58" xfId="0" applyFon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3" borderId="38" xfId="0" applyFill="1" applyBorder="1"/>
    <xf numFmtId="164" fontId="0" fillId="3" borderId="7" xfId="1" applyFont="1" applyFill="1" applyBorder="1" applyAlignment="1">
      <alignment horizontal="center"/>
    </xf>
    <xf numFmtId="164" fontId="0" fillId="3" borderId="20" xfId="1" applyFont="1" applyFill="1" applyBorder="1"/>
    <xf numFmtId="164" fontId="0" fillId="3" borderId="38" xfId="1" applyFont="1" applyFill="1" applyBorder="1" applyAlignment="1">
      <alignment horizontal="center"/>
    </xf>
    <xf numFmtId="164" fontId="0" fillId="3" borderId="8" xfId="1" applyFont="1" applyFill="1" applyBorder="1" applyAlignment="1">
      <alignment horizontal="center"/>
    </xf>
    <xf numFmtId="164" fontId="0" fillId="3" borderId="1" xfId="0" applyNumberFormat="1" applyFill="1" applyBorder="1"/>
    <xf numFmtId="164" fontId="0" fillId="3" borderId="8" xfId="0" applyNumberFormat="1" applyFill="1" applyBorder="1"/>
    <xf numFmtId="164" fontId="0" fillId="3" borderId="7" xfId="0" applyNumberFormat="1" applyFill="1" applyBorder="1"/>
    <xf numFmtId="166" fontId="0" fillId="3" borderId="8" xfId="0" applyNumberFormat="1" applyFill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164" fontId="2" fillId="0" borderId="15" xfId="1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2" fillId="0" borderId="53" xfId="0" quotePrefix="1" applyFont="1" applyBorder="1" applyAlignment="1">
      <alignment horizontal="center"/>
    </xf>
    <xf numFmtId="164" fontId="2" fillId="5" borderId="38" xfId="1" applyFont="1" applyFill="1" applyBorder="1" applyAlignment="1">
      <alignment horizontal="center"/>
    </xf>
    <xf numFmtId="0" fontId="2" fillId="0" borderId="54" xfId="0" quotePrefix="1" applyFont="1" applyBorder="1" applyAlignment="1">
      <alignment horizontal="center"/>
    </xf>
    <xf numFmtId="164" fontId="2" fillId="0" borderId="55" xfId="1" quotePrefix="1" applyFont="1" applyBorder="1" applyAlignment="1">
      <alignment horizontal="center"/>
    </xf>
    <xf numFmtId="16" fontId="2" fillId="0" borderId="56" xfId="0" quotePrefix="1" applyNumberFormat="1" applyFont="1" applyBorder="1" applyAlignment="1">
      <alignment horizontal="center"/>
    </xf>
    <xf numFmtId="164" fontId="0" fillId="6" borderId="28" xfId="1" applyFont="1" applyFill="1" applyBorder="1" applyAlignment="1">
      <alignment horizontal="center"/>
    </xf>
    <xf numFmtId="164" fontId="0" fillId="7" borderId="41" xfId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4" fillId="2" borderId="35" xfId="1" applyFont="1" applyFill="1" applyBorder="1" applyAlignment="1">
      <alignment horizontal="center"/>
    </xf>
    <xf numFmtId="164" fontId="4" fillId="2" borderId="43" xfId="1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4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4" xfId="0" applyNumberForma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o\OneDrive\Desktop\CARPETA%20DE%20INGRESOS%20Y%20EGRESOS\Copia%20de%20EGRESOS%20DEL%20MES%20DE%20MARZO(1).xlsx" TargetMode="External"/><Relationship Id="rId1" Type="http://schemas.openxmlformats.org/officeDocument/2006/relationships/externalLinkPath" Target="/Users/julio/OneDrive/Desktop/Guada/CONTROL%20FINANCIERO%20HJM%20NUNKINI%202025-2027/Copia%20de%20EGRESOS%20DEL%20MES%20DE%20MARZO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entrado por mes "/>
      <sheetName val="egreso-oct"/>
      <sheetName val="egreso-nov"/>
      <sheetName val="egreso-dic"/>
      <sheetName val="egreso-enero"/>
      <sheetName val="egreso-febrero"/>
      <sheetName val="egreso-marzo"/>
      <sheetName val="egreso-abril"/>
      <sheetName val="egreso-mayo"/>
    </sheetNames>
    <sheetDataSet>
      <sheetData sheetId="0">
        <row r="101">
          <cell r="L101">
            <v>4263935.5899999989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2A69-1D6E-4FC0-B0F6-2AB342B1150F}">
  <dimension ref="A2:U57"/>
  <sheetViews>
    <sheetView tabSelected="1" topLeftCell="C1" workbookViewId="0">
      <pane xSplit="1" ySplit="5" topLeftCell="D17" activePane="bottomRight" state="frozen"/>
      <selection pane="bottomRight" activeCell="Q23" sqref="Q23"/>
      <selection pane="bottomLeft" activeCell="C6" sqref="C6"/>
      <selection pane="topRight" activeCell="D1" sqref="D1"/>
    </sheetView>
  </sheetViews>
  <sheetFormatPr defaultColWidth="11.42578125" defaultRowHeight="15"/>
  <cols>
    <col min="2" max="2" width="10.85546875" style="1"/>
    <col min="3" max="3" width="51.140625" customWidth="1"/>
    <col min="4" max="4" width="12.7109375" style="6" customWidth="1"/>
    <col min="5" max="5" width="15.28515625" customWidth="1"/>
    <col min="6" max="6" width="12.7109375" style="4" customWidth="1"/>
    <col min="7" max="7" width="12.7109375" style="29" customWidth="1"/>
    <col min="8" max="8" width="15.28515625" customWidth="1"/>
    <col min="9" max="11" width="12.7109375" customWidth="1"/>
    <col min="12" max="13" width="12.5703125" customWidth="1"/>
    <col min="14" max="14" width="12.7109375" customWidth="1"/>
    <col min="15" max="15" width="12.5703125" style="205" customWidth="1"/>
    <col min="16" max="16" width="14" style="4" customWidth="1"/>
    <col min="17" max="17" width="15" customWidth="1"/>
    <col min="18" max="18" width="15.28515625" customWidth="1"/>
    <col min="19" max="19" width="17.5703125" customWidth="1"/>
    <col min="20" max="20" width="15.28515625" customWidth="1"/>
    <col min="21" max="21" width="18.28515625" customWidth="1"/>
  </cols>
  <sheetData>
    <row r="2" spans="1:19" ht="15.75" thickBot="1">
      <c r="C2" s="29" t="s">
        <v>0</v>
      </c>
      <c r="D2" s="29"/>
      <c r="E2" s="29"/>
      <c r="F2" s="29"/>
    </row>
    <row r="3" spans="1:19" ht="15.75" thickBot="1">
      <c r="D3" s="244" t="s">
        <v>1</v>
      </c>
      <c r="E3" s="245"/>
      <c r="F3" s="245"/>
      <c r="G3" s="246" t="s">
        <v>2</v>
      </c>
      <c r="H3" s="247"/>
      <c r="I3" s="248"/>
      <c r="J3" s="246" t="s">
        <v>3</v>
      </c>
      <c r="K3" s="247"/>
      <c r="L3" s="248"/>
      <c r="M3" s="249" t="s">
        <v>4</v>
      </c>
      <c r="N3" s="250"/>
      <c r="O3" s="251"/>
    </row>
    <row r="4" spans="1:19" s="4" customFormat="1" ht="15.75" thickBot="1">
      <c r="B4" s="4" t="s">
        <v>5</v>
      </c>
      <c r="C4" s="112" t="s">
        <v>6</v>
      </c>
      <c r="D4" s="233" t="s">
        <v>7</v>
      </c>
      <c r="E4" s="234" t="s">
        <v>8</v>
      </c>
      <c r="F4" s="235" t="s">
        <v>9</v>
      </c>
      <c r="G4" s="237" t="s">
        <v>10</v>
      </c>
      <c r="H4" s="238" t="s">
        <v>11</v>
      </c>
      <c r="I4" s="239" t="s">
        <v>12</v>
      </c>
      <c r="J4" s="164" t="s">
        <v>13</v>
      </c>
      <c r="K4" s="166" t="s">
        <v>14</v>
      </c>
      <c r="L4" s="165" t="s">
        <v>15</v>
      </c>
      <c r="M4" s="189" t="s">
        <v>16</v>
      </c>
      <c r="N4" s="166" t="s">
        <v>17</v>
      </c>
      <c r="O4" s="203" t="s">
        <v>18</v>
      </c>
      <c r="P4" s="39" t="s">
        <v>19</v>
      </c>
      <c r="R4" s="4" t="s">
        <v>20</v>
      </c>
      <c r="S4" s="4" t="s">
        <v>21</v>
      </c>
    </row>
    <row r="5" spans="1:19" ht="15.75" thickBot="1">
      <c r="C5" s="126" t="s">
        <v>22</v>
      </c>
      <c r="D5" s="99"/>
      <c r="E5" s="160"/>
      <c r="F5" s="113"/>
      <c r="G5" s="90"/>
      <c r="H5" s="8"/>
      <c r="I5" s="91"/>
      <c r="J5" s="22"/>
      <c r="K5" s="21">
        <f>'ingreso-mayo'!D5</f>
        <v>0</v>
      </c>
      <c r="L5" s="186">
        <f>'ingreso-junio'!D5</f>
        <v>0</v>
      </c>
      <c r="M5" s="190">
        <f>julio!D5:D51</f>
        <v>0</v>
      </c>
      <c r="N5" s="21">
        <f>agosto!D5</f>
        <v>0</v>
      </c>
      <c r="O5" s="207"/>
      <c r="P5" s="170"/>
    </row>
    <row r="6" spans="1:19">
      <c r="C6" s="81" t="s">
        <v>23</v>
      </c>
      <c r="D6" s="90"/>
      <c r="E6" s="161"/>
      <c r="F6" s="114"/>
      <c r="G6" s="92"/>
      <c r="H6" s="5"/>
      <c r="I6" s="93"/>
      <c r="J6" s="92"/>
      <c r="K6" s="153">
        <f>'ingreso-mayo'!D6</f>
        <v>0</v>
      </c>
      <c r="L6" s="187">
        <f>'ingreso-junio'!D6</f>
        <v>0</v>
      </c>
      <c r="M6" s="191">
        <f>julio!D6:D52</f>
        <v>0</v>
      </c>
      <c r="N6" s="153">
        <f>agosto!D6</f>
        <v>0</v>
      </c>
      <c r="O6" s="208"/>
      <c r="P6" s="171">
        <f>SUM(D6:L6)</f>
        <v>0</v>
      </c>
    </row>
    <row r="7" spans="1:19">
      <c r="C7" s="82" t="s">
        <v>24</v>
      </c>
      <c r="D7" s="92"/>
      <c r="E7" s="66"/>
      <c r="F7" s="226">
        <v>1743</v>
      </c>
      <c r="G7" s="92"/>
      <c r="H7" s="5"/>
      <c r="I7" s="93"/>
      <c r="J7" s="92"/>
      <c r="K7" s="153">
        <f>'ingreso-mayo'!D7</f>
        <v>0</v>
      </c>
      <c r="L7" s="187">
        <f>'ingreso-junio'!D7</f>
        <v>0</v>
      </c>
      <c r="M7" s="191">
        <f>julio!D7:D53</f>
        <v>0</v>
      </c>
      <c r="N7" s="153">
        <f>agosto!D7</f>
        <v>0</v>
      </c>
      <c r="O7" s="208"/>
      <c r="P7" s="171">
        <f>SUM(D7:O7)</f>
        <v>1743</v>
      </c>
    </row>
    <row r="8" spans="1:19">
      <c r="C8" s="82" t="s">
        <v>25</v>
      </c>
      <c r="D8" s="92"/>
      <c r="E8" s="66"/>
      <c r="F8" s="114"/>
      <c r="G8" s="92"/>
      <c r="H8" s="5"/>
      <c r="I8" s="93"/>
      <c r="J8" s="92"/>
      <c r="K8" s="153">
        <f>'ingreso-mayo'!D8</f>
        <v>0</v>
      </c>
      <c r="L8" s="187">
        <f>'ingreso-junio'!D8</f>
        <v>2500</v>
      </c>
      <c r="M8" s="191">
        <f>julio!D8:D54</f>
        <v>0</v>
      </c>
      <c r="N8" s="153">
        <f>agosto!D8</f>
        <v>0</v>
      </c>
      <c r="O8" s="208"/>
      <c r="P8" s="171">
        <f>SUM(D8:O8)</f>
        <v>2500</v>
      </c>
    </row>
    <row r="9" spans="1:19" ht="15.75" thickBot="1">
      <c r="C9" s="84" t="s">
        <v>26</v>
      </c>
      <c r="D9" s="89"/>
      <c r="E9" s="162"/>
      <c r="F9" s="114"/>
      <c r="G9" s="92"/>
      <c r="H9" s="5"/>
      <c r="I9" s="93"/>
      <c r="J9" s="92"/>
      <c r="K9" s="153">
        <f>'ingreso-mayo'!D9</f>
        <v>0</v>
      </c>
      <c r="L9" s="187">
        <f>'ingreso-junio'!D9</f>
        <v>0</v>
      </c>
      <c r="M9" s="191">
        <f>julio!D9:D55</f>
        <v>0</v>
      </c>
      <c r="N9" s="153">
        <f>agosto!D9</f>
        <v>0</v>
      </c>
      <c r="O9" s="208"/>
      <c r="P9" s="172">
        <f t="shared" ref="P9:P50" si="0">SUM(D9:L9)</f>
        <v>0</v>
      </c>
    </row>
    <row r="10" spans="1:19" ht="15.75" thickBot="1">
      <c r="A10" s="118"/>
      <c r="B10" s="119"/>
      <c r="C10" s="85" t="s">
        <v>27</v>
      </c>
      <c r="D10" s="95"/>
      <c r="E10" s="120"/>
      <c r="F10" s="114"/>
      <c r="G10" s="92"/>
      <c r="H10" s="5"/>
      <c r="I10" s="93"/>
      <c r="J10" s="92"/>
      <c r="K10" s="153">
        <f>'ingreso-mayo'!D10</f>
        <v>0</v>
      </c>
      <c r="L10" s="187">
        <f>'ingreso-junio'!D10</f>
        <v>0</v>
      </c>
      <c r="M10" s="191">
        <f>julio!D10:D56</f>
        <v>0</v>
      </c>
      <c r="N10" s="153">
        <f>agosto!D10</f>
        <v>0</v>
      </c>
      <c r="O10" s="208"/>
      <c r="P10" s="173">
        <f t="shared" si="0"/>
        <v>0</v>
      </c>
    </row>
    <row r="11" spans="1:19">
      <c r="C11" s="87" t="s">
        <v>28</v>
      </c>
      <c r="D11" s="96"/>
      <c r="E11" s="117"/>
      <c r="F11" s="114"/>
      <c r="G11" s="92"/>
      <c r="H11" s="5"/>
      <c r="I11" s="93"/>
      <c r="J11" s="92"/>
      <c r="K11" s="153">
        <f>'ingreso-mayo'!D11</f>
        <v>0</v>
      </c>
      <c r="L11" s="187">
        <f>'ingreso-junio'!D11</f>
        <v>0</v>
      </c>
      <c r="M11" s="191">
        <f>julio!D11:D57</f>
        <v>0</v>
      </c>
      <c r="N11" s="153">
        <f>agosto!D11</f>
        <v>0</v>
      </c>
      <c r="O11" s="208"/>
      <c r="P11" s="174">
        <f t="shared" si="0"/>
        <v>0</v>
      </c>
    </row>
    <row r="12" spans="1:19">
      <c r="C12" s="82" t="s">
        <v>29</v>
      </c>
      <c r="D12" s="92">
        <v>300</v>
      </c>
      <c r="E12" s="66">
        <v>300</v>
      </c>
      <c r="F12" s="236">
        <v>300</v>
      </c>
      <c r="G12" s="92">
        <v>600</v>
      </c>
      <c r="H12" s="5"/>
      <c r="I12" s="93"/>
      <c r="J12" s="92"/>
      <c r="K12" s="153">
        <f>'ingreso-mayo'!D12</f>
        <v>4400</v>
      </c>
      <c r="L12" s="187">
        <f>'ingreso-junio'!D12</f>
        <v>0</v>
      </c>
      <c r="M12" s="191">
        <f>julio!D12:D58</f>
        <v>900</v>
      </c>
      <c r="N12" s="153">
        <f>agosto!D12</f>
        <v>9875</v>
      </c>
      <c r="O12" s="208">
        <v>3700</v>
      </c>
      <c r="P12" s="171">
        <f>SUM(D12:O12)</f>
        <v>20375</v>
      </c>
    </row>
    <row r="13" spans="1:19">
      <c r="C13" s="82" t="s">
        <v>30</v>
      </c>
      <c r="D13" s="92"/>
      <c r="E13" s="66"/>
      <c r="F13" s="114"/>
      <c r="G13" s="92"/>
      <c r="H13" s="5"/>
      <c r="I13" s="93"/>
      <c r="J13" s="92"/>
      <c r="K13" s="153">
        <f>'ingreso-mayo'!D13</f>
        <v>0</v>
      </c>
      <c r="L13" s="187">
        <f>'ingreso-junio'!D13</f>
        <v>0</v>
      </c>
      <c r="M13" s="191">
        <f>julio!D13:D59</f>
        <v>0</v>
      </c>
      <c r="N13" s="153">
        <f>agosto!D13</f>
        <v>0</v>
      </c>
      <c r="O13" s="208"/>
      <c r="P13" s="171">
        <f t="shared" si="0"/>
        <v>0</v>
      </c>
    </row>
    <row r="14" spans="1:19">
      <c r="C14" s="223" t="s">
        <v>31</v>
      </c>
      <c r="D14" s="224"/>
      <c r="E14" s="225"/>
      <c r="F14" s="226"/>
      <c r="G14" s="224">
        <v>900</v>
      </c>
      <c r="H14" s="105">
        <v>1920</v>
      </c>
      <c r="I14" s="227">
        <v>1440</v>
      </c>
      <c r="J14" s="224"/>
      <c r="K14" s="228">
        <f>'ingreso-mayo'!D14</f>
        <v>0</v>
      </c>
      <c r="L14" s="229">
        <f>'ingreso-junio'!D14</f>
        <v>0</v>
      </c>
      <c r="M14" s="230">
        <f>julio!D14:D60</f>
        <v>480</v>
      </c>
      <c r="N14" s="228">
        <f>agosto!D14</f>
        <v>0</v>
      </c>
      <c r="O14" s="231">
        <v>480</v>
      </c>
      <c r="P14" s="232">
        <f>SUM(D14:O14)</f>
        <v>5220</v>
      </c>
    </row>
    <row r="15" spans="1:19">
      <c r="C15" s="82" t="s">
        <v>32</v>
      </c>
      <c r="D15" s="92"/>
      <c r="E15" s="66">
        <v>1900</v>
      </c>
      <c r="F15" s="114"/>
      <c r="G15" s="92"/>
      <c r="H15" s="5"/>
      <c r="I15" s="93"/>
      <c r="J15" s="92"/>
      <c r="K15" s="153">
        <f>'ingreso-mayo'!D15</f>
        <v>0</v>
      </c>
      <c r="L15" s="187">
        <f>'ingreso-junio'!D15</f>
        <v>0</v>
      </c>
      <c r="M15" s="191">
        <f>julio!D15:D61</f>
        <v>0</v>
      </c>
      <c r="N15" s="153">
        <f>agosto!D15</f>
        <v>0</v>
      </c>
      <c r="O15" s="208"/>
      <c r="P15" s="171">
        <f>SUM(D15:O15)</f>
        <v>1900</v>
      </c>
    </row>
    <row r="16" spans="1:19">
      <c r="C16" s="82" t="s">
        <v>33</v>
      </c>
      <c r="D16" s="92"/>
      <c r="E16" s="66"/>
      <c r="F16" s="114"/>
      <c r="G16" s="92"/>
      <c r="H16" s="5"/>
      <c r="I16" s="93"/>
      <c r="J16" s="92"/>
      <c r="K16" s="153">
        <f>'ingreso-mayo'!D16</f>
        <v>0</v>
      </c>
      <c r="L16" s="187">
        <f>'ingreso-junio'!D16</f>
        <v>0</v>
      </c>
      <c r="M16" s="191">
        <f>julio!D16:D62</f>
        <v>0</v>
      </c>
      <c r="N16" s="153">
        <f>agosto!D16</f>
        <v>0</v>
      </c>
      <c r="O16" s="208"/>
      <c r="P16" s="171">
        <f t="shared" si="0"/>
        <v>0</v>
      </c>
    </row>
    <row r="17" spans="3:16">
      <c r="C17" s="82" t="s">
        <v>34</v>
      </c>
      <c r="D17" s="92"/>
      <c r="E17" s="66"/>
      <c r="F17" s="114"/>
      <c r="G17" s="92"/>
      <c r="H17" s="5"/>
      <c r="I17" s="93"/>
      <c r="J17" s="92"/>
      <c r="K17" s="153">
        <f>'ingreso-mayo'!D17</f>
        <v>0</v>
      </c>
      <c r="L17" s="187">
        <f>'ingreso-junio'!D17</f>
        <v>0</v>
      </c>
      <c r="M17" s="191">
        <f>julio!D17:D63</f>
        <v>0</v>
      </c>
      <c r="N17" s="153">
        <f>agosto!D17</f>
        <v>0</v>
      </c>
      <c r="O17" s="208"/>
      <c r="P17" s="171">
        <f t="shared" si="0"/>
        <v>0</v>
      </c>
    </row>
    <row r="18" spans="3:16">
      <c r="C18" s="82" t="s">
        <v>35</v>
      </c>
      <c r="D18" s="92">
        <v>450</v>
      </c>
      <c r="E18" s="66"/>
      <c r="F18" s="114"/>
      <c r="G18" s="92">
        <v>1890</v>
      </c>
      <c r="H18" s="5">
        <v>960</v>
      </c>
      <c r="I18" s="93">
        <v>480</v>
      </c>
      <c r="J18" s="92"/>
      <c r="K18" s="153">
        <f>'ingreso-mayo'!D18</f>
        <v>480</v>
      </c>
      <c r="L18" s="187">
        <f>'ingreso-junio'!D18</f>
        <v>0</v>
      </c>
      <c r="M18" s="191">
        <f>julio!D18:D64</f>
        <v>480</v>
      </c>
      <c r="N18" s="153">
        <f>agosto!D18</f>
        <v>0</v>
      </c>
      <c r="O18" s="208">
        <v>1440</v>
      </c>
      <c r="P18" s="171">
        <f>SUM(D18:O18)</f>
        <v>6180</v>
      </c>
    </row>
    <row r="19" spans="3:16">
      <c r="C19" s="82" t="s">
        <v>36</v>
      </c>
      <c r="D19" s="92">
        <v>2250</v>
      </c>
      <c r="E19" s="66"/>
      <c r="F19" s="236">
        <v>5100</v>
      </c>
      <c r="G19" s="92">
        <v>2340</v>
      </c>
      <c r="H19" s="5">
        <v>1440</v>
      </c>
      <c r="I19" s="93">
        <v>960</v>
      </c>
      <c r="J19" s="92">
        <v>960</v>
      </c>
      <c r="K19" s="153">
        <f>'ingreso-mayo'!D19</f>
        <v>1920</v>
      </c>
      <c r="L19" s="187">
        <f>'ingreso-junio'!D19</f>
        <v>480</v>
      </c>
      <c r="M19" s="191">
        <f>julio!D19:D65</f>
        <v>1440</v>
      </c>
      <c r="N19" s="153">
        <f>agosto!D19</f>
        <v>960</v>
      </c>
      <c r="O19" s="208">
        <v>1500</v>
      </c>
      <c r="P19" s="171">
        <f>SUM(D19:O19)</f>
        <v>19350</v>
      </c>
    </row>
    <row r="20" spans="3:16">
      <c r="C20" s="82" t="s">
        <v>37</v>
      </c>
      <c r="D20" s="92"/>
      <c r="E20" s="66"/>
      <c r="F20" s="236"/>
      <c r="G20" s="92"/>
      <c r="H20" s="5"/>
      <c r="I20" s="93"/>
      <c r="J20" s="92"/>
      <c r="K20" s="153">
        <f>'ingreso-mayo'!D20</f>
        <v>0</v>
      </c>
      <c r="L20" s="187">
        <f>'ingreso-junio'!D20</f>
        <v>0</v>
      </c>
      <c r="M20" s="191">
        <f>julio!D20:D66</f>
        <v>0</v>
      </c>
      <c r="N20" s="153">
        <f>agosto!D20</f>
        <v>0</v>
      </c>
      <c r="O20" s="208"/>
      <c r="P20" s="171">
        <f t="shared" si="0"/>
        <v>0</v>
      </c>
    </row>
    <row r="21" spans="3:16">
      <c r="C21" s="82" t="s">
        <v>38</v>
      </c>
      <c r="D21" s="92"/>
      <c r="E21" s="66"/>
      <c r="F21" s="236"/>
      <c r="G21" s="92"/>
      <c r="H21" s="5"/>
      <c r="I21" s="93"/>
      <c r="J21" s="92"/>
      <c r="K21" s="153">
        <f>'ingreso-mayo'!D21</f>
        <v>0</v>
      </c>
      <c r="L21" s="187">
        <f>'ingreso-junio'!D21</f>
        <v>0</v>
      </c>
      <c r="M21" s="191">
        <f>julio!D21:D67</f>
        <v>0</v>
      </c>
      <c r="N21" s="153">
        <f>agosto!D21</f>
        <v>0</v>
      </c>
      <c r="O21" s="208"/>
      <c r="P21" s="171">
        <f t="shared" si="0"/>
        <v>0</v>
      </c>
    </row>
    <row r="22" spans="3:16">
      <c r="C22" s="82" t="s">
        <v>39</v>
      </c>
      <c r="D22" s="92">
        <v>500</v>
      </c>
      <c r="E22" s="66"/>
      <c r="F22" s="236">
        <v>900</v>
      </c>
      <c r="G22" s="92"/>
      <c r="H22" s="5"/>
      <c r="I22" s="93">
        <v>500</v>
      </c>
      <c r="J22" s="92"/>
      <c r="K22" s="153">
        <f>'ingreso-mayo'!D22</f>
        <v>0</v>
      </c>
      <c r="L22" s="187">
        <f>'ingreso-junio'!D22</f>
        <v>0</v>
      </c>
      <c r="M22" s="191">
        <f>julio!D22:D68</f>
        <v>0</v>
      </c>
      <c r="N22" s="153">
        <f>agosto!D22</f>
        <v>0</v>
      </c>
      <c r="O22" s="208"/>
      <c r="P22" s="171">
        <f>SUM(D22:O22)</f>
        <v>1900</v>
      </c>
    </row>
    <row r="23" spans="3:16">
      <c r="C23" s="82" t="s">
        <v>40</v>
      </c>
      <c r="D23" s="92"/>
      <c r="E23" s="66"/>
      <c r="F23" s="114"/>
      <c r="G23" s="92"/>
      <c r="H23" s="5"/>
      <c r="I23" s="93"/>
      <c r="J23" s="92"/>
      <c r="K23" s="153">
        <f>'ingreso-mayo'!D23</f>
        <v>0</v>
      </c>
      <c r="L23" s="187">
        <f>'ingreso-junio'!D23</f>
        <v>0</v>
      </c>
      <c r="M23" s="191">
        <f>julio!D23:D69</f>
        <v>0</v>
      </c>
      <c r="N23" s="153">
        <f>agosto!D23</f>
        <v>0</v>
      </c>
      <c r="O23" s="208"/>
      <c r="P23" s="171">
        <f t="shared" si="0"/>
        <v>0</v>
      </c>
    </row>
    <row r="24" spans="3:16">
      <c r="C24" s="82" t="s">
        <v>41</v>
      </c>
      <c r="D24" s="92"/>
      <c r="E24" s="66"/>
      <c r="F24" s="114"/>
      <c r="G24" s="92"/>
      <c r="H24" s="5"/>
      <c r="I24" s="93"/>
      <c r="J24" s="92"/>
      <c r="K24" s="153">
        <f>'ingreso-mayo'!D24</f>
        <v>0</v>
      </c>
      <c r="L24" s="187">
        <f>'ingreso-junio'!D24</f>
        <v>0</v>
      </c>
      <c r="M24" s="191">
        <f>julio!D24:D70</f>
        <v>0</v>
      </c>
      <c r="N24" s="153">
        <f>agosto!D24</f>
        <v>0</v>
      </c>
      <c r="O24" s="208"/>
      <c r="P24" s="171">
        <f t="shared" si="0"/>
        <v>0</v>
      </c>
    </row>
    <row r="25" spans="3:16" ht="15.75" thickBot="1">
      <c r="C25" s="83" t="s">
        <v>42</v>
      </c>
      <c r="D25" s="94"/>
      <c r="E25" s="67"/>
      <c r="F25" s="114"/>
      <c r="G25" s="92"/>
      <c r="H25" s="5"/>
      <c r="I25" s="93"/>
      <c r="J25" s="92"/>
      <c r="K25" s="153">
        <f>'ingreso-mayo'!D25</f>
        <v>0</v>
      </c>
      <c r="L25" s="187">
        <f>'ingreso-junio'!D25</f>
        <v>0</v>
      </c>
      <c r="M25" s="191">
        <f>julio!D25:D71</f>
        <v>0</v>
      </c>
      <c r="N25" s="153">
        <f>agosto!D25</f>
        <v>0</v>
      </c>
      <c r="O25" s="208"/>
      <c r="P25" s="175">
        <f t="shared" si="0"/>
        <v>0</v>
      </c>
    </row>
    <row r="26" spans="3:16" ht="15.75" thickBot="1">
      <c r="C26" s="85" t="s">
        <v>43</v>
      </c>
      <c r="D26" s="95"/>
      <c r="E26" s="120"/>
      <c r="F26" s="182"/>
      <c r="G26" s="92"/>
      <c r="H26" s="5"/>
      <c r="I26" s="93"/>
      <c r="J26" s="92"/>
      <c r="K26" s="153">
        <f>'ingreso-mayo'!D26</f>
        <v>0</v>
      </c>
      <c r="L26" s="187">
        <f>'ingreso-junio'!D26</f>
        <v>0</v>
      </c>
      <c r="M26" s="191">
        <f>julio!D26:D72</f>
        <v>0</v>
      </c>
      <c r="N26" s="153">
        <f>agosto!D26</f>
        <v>0</v>
      </c>
      <c r="O26" s="208"/>
      <c r="P26" s="173">
        <f t="shared" si="0"/>
        <v>0</v>
      </c>
    </row>
    <row r="27" spans="3:16">
      <c r="C27" s="87" t="s">
        <v>44</v>
      </c>
      <c r="D27" s="96"/>
      <c r="E27" s="117"/>
      <c r="F27" s="114"/>
      <c r="G27" s="92"/>
      <c r="H27" s="5"/>
      <c r="I27" s="93"/>
      <c r="J27" s="92"/>
      <c r="K27" s="153">
        <f>'ingreso-mayo'!D27</f>
        <v>0</v>
      </c>
      <c r="L27" s="187">
        <f>'ingreso-junio'!D27</f>
        <v>0</v>
      </c>
      <c r="M27" s="191">
        <f>julio!D27:D73</f>
        <v>0</v>
      </c>
      <c r="N27" s="153">
        <f>agosto!D27</f>
        <v>0</v>
      </c>
      <c r="O27" s="208"/>
      <c r="P27" s="176">
        <f t="shared" si="0"/>
        <v>0</v>
      </c>
    </row>
    <row r="28" spans="3:16">
      <c r="C28" s="82" t="s">
        <v>45</v>
      </c>
      <c r="D28" s="92"/>
      <c r="E28" s="66"/>
      <c r="F28" s="114"/>
      <c r="G28" s="92">
        <v>0</v>
      </c>
      <c r="H28" s="5">
        <v>500</v>
      </c>
      <c r="I28" s="93">
        <v>500</v>
      </c>
      <c r="J28" s="92">
        <v>5000</v>
      </c>
      <c r="K28" s="153">
        <f>'ingreso-mayo'!D28</f>
        <v>0</v>
      </c>
      <c r="L28" s="187">
        <f>'ingreso-junio'!D28</f>
        <v>9000</v>
      </c>
      <c r="M28" s="191">
        <f>julio!D28:D74</f>
        <v>3500</v>
      </c>
      <c r="N28" s="153">
        <f>agosto!D28</f>
        <v>0</v>
      </c>
      <c r="O28" s="208"/>
      <c r="P28" s="177">
        <f>SUM(D28:O28)</f>
        <v>18500</v>
      </c>
    </row>
    <row r="29" spans="3:16">
      <c r="C29" s="82" t="s">
        <v>46</v>
      </c>
      <c r="D29" s="92"/>
      <c r="E29" s="66"/>
      <c r="F29" s="114"/>
      <c r="G29" s="92">
        <v>0</v>
      </c>
      <c r="H29" s="5"/>
      <c r="I29" s="93">
        <v>2000</v>
      </c>
      <c r="J29" s="92">
        <v>500</v>
      </c>
      <c r="K29" s="153">
        <f>'ingreso-mayo'!D29</f>
        <v>0</v>
      </c>
      <c r="L29" s="187">
        <f>'ingreso-junio'!D29</f>
        <v>1500</v>
      </c>
      <c r="M29" s="191">
        <f>julio!D29:D75</f>
        <v>0</v>
      </c>
      <c r="N29" s="153">
        <f>agosto!D29</f>
        <v>3000</v>
      </c>
      <c r="O29" s="208">
        <v>500</v>
      </c>
      <c r="P29" s="177">
        <f>SUM(D29:O29)</f>
        <v>7500</v>
      </c>
    </row>
    <row r="30" spans="3:16">
      <c r="C30" s="82" t="s">
        <v>47</v>
      </c>
      <c r="D30" s="92"/>
      <c r="E30" s="66"/>
      <c r="F30" s="114"/>
      <c r="G30" s="92">
        <v>0</v>
      </c>
      <c r="H30" s="5"/>
      <c r="I30" s="93"/>
      <c r="J30" s="92"/>
      <c r="K30" s="153">
        <f>'ingreso-mayo'!D30</f>
        <v>0</v>
      </c>
      <c r="L30" s="187">
        <f>'ingreso-junio'!D30</f>
        <v>0</v>
      </c>
      <c r="M30" s="191">
        <f>julio!D30:D76</f>
        <v>0</v>
      </c>
      <c r="N30" s="153">
        <f>agosto!D30</f>
        <v>0</v>
      </c>
      <c r="O30" s="208"/>
      <c r="P30" s="177">
        <f t="shared" si="0"/>
        <v>0</v>
      </c>
    </row>
    <row r="31" spans="3:16">
      <c r="C31" s="82" t="s">
        <v>48</v>
      </c>
      <c r="D31" s="92"/>
      <c r="E31" s="66"/>
      <c r="F31" s="114"/>
      <c r="G31" s="92">
        <v>0</v>
      </c>
      <c r="H31" s="5"/>
      <c r="I31" s="93"/>
      <c r="J31" s="92"/>
      <c r="K31" s="153">
        <f>'ingreso-mayo'!D31</f>
        <v>0</v>
      </c>
      <c r="L31" s="187">
        <f>'ingreso-junio'!D31</f>
        <v>0</v>
      </c>
      <c r="M31" s="191">
        <f>julio!D31:D77</f>
        <v>0</v>
      </c>
      <c r="N31" s="153">
        <f>agosto!D31</f>
        <v>0</v>
      </c>
      <c r="O31" s="208"/>
      <c r="P31" s="177">
        <f t="shared" si="0"/>
        <v>0</v>
      </c>
    </row>
    <row r="32" spans="3:16" ht="15.75" thickBot="1">
      <c r="C32" s="84" t="s">
        <v>49</v>
      </c>
      <c r="D32" s="89"/>
      <c r="E32" s="162"/>
      <c r="F32" s="114"/>
      <c r="G32" s="92"/>
      <c r="H32" s="5"/>
      <c r="I32" s="93"/>
      <c r="J32" s="92"/>
      <c r="K32" s="153">
        <f>'ingreso-mayo'!D32</f>
        <v>0</v>
      </c>
      <c r="L32" s="187">
        <f>'ingreso-junio'!D32</f>
        <v>0</v>
      </c>
      <c r="M32" s="191">
        <f>julio!D32:D78</f>
        <v>0</v>
      </c>
      <c r="N32" s="153">
        <f>agosto!D32</f>
        <v>0</v>
      </c>
      <c r="O32" s="208"/>
      <c r="P32" s="178">
        <f t="shared" si="0"/>
        <v>0</v>
      </c>
    </row>
    <row r="33" spans="2:21" ht="15.75" thickBot="1">
      <c r="C33" s="85" t="s">
        <v>50</v>
      </c>
      <c r="D33" s="95"/>
      <c r="E33" s="163"/>
      <c r="F33" s="114"/>
      <c r="G33" s="92"/>
      <c r="H33" s="5"/>
      <c r="I33" s="93"/>
      <c r="J33" s="92"/>
      <c r="K33" s="153">
        <f>'ingreso-mayo'!D33</f>
        <v>0</v>
      </c>
      <c r="L33" s="187">
        <f>'ingreso-junio'!D33</f>
        <v>0</v>
      </c>
      <c r="M33" s="191">
        <f>julio!D33:D79</f>
        <v>0</v>
      </c>
      <c r="N33" s="153">
        <f>agosto!D33</f>
        <v>0</v>
      </c>
      <c r="O33" s="208"/>
      <c r="P33" s="173">
        <f t="shared" si="0"/>
        <v>0</v>
      </c>
    </row>
    <row r="34" spans="2:21">
      <c r="C34" s="87" t="s">
        <v>51</v>
      </c>
      <c r="D34" s="96"/>
      <c r="E34" s="117"/>
      <c r="F34" s="114"/>
      <c r="G34" s="92"/>
      <c r="H34" s="5"/>
      <c r="I34" s="93"/>
      <c r="J34" s="92"/>
      <c r="K34" s="153">
        <f>'ingreso-mayo'!D34</f>
        <v>0</v>
      </c>
      <c r="L34" s="187">
        <f>'ingreso-junio'!D34</f>
        <v>0</v>
      </c>
      <c r="M34" s="191">
        <f>julio!D34:D80</f>
        <v>0</v>
      </c>
      <c r="N34" s="153">
        <f>agosto!D34</f>
        <v>0</v>
      </c>
      <c r="O34" s="208"/>
      <c r="P34" s="176">
        <f t="shared" si="0"/>
        <v>0</v>
      </c>
    </row>
    <row r="35" spans="2:21">
      <c r="C35" s="84" t="s">
        <v>52</v>
      </c>
      <c r="D35" s="89"/>
      <c r="E35" s="162"/>
      <c r="F35" s="114"/>
      <c r="G35" s="92"/>
      <c r="H35" s="5"/>
      <c r="I35" s="93"/>
      <c r="J35" s="92"/>
      <c r="K35" s="153">
        <f>'ingreso-mayo'!D35</f>
        <v>0</v>
      </c>
      <c r="L35" s="187">
        <f>'ingreso-junio'!D35</f>
        <v>0</v>
      </c>
      <c r="M35" s="191">
        <f>julio!D35:D81</f>
        <v>0</v>
      </c>
      <c r="N35" s="153">
        <f>agosto!D35</f>
        <v>0</v>
      </c>
      <c r="O35" s="208"/>
      <c r="P35" s="177">
        <f t="shared" si="0"/>
        <v>0</v>
      </c>
    </row>
    <row r="36" spans="2:21" ht="15.75" thickBot="1">
      <c r="B36" s="2" t="s">
        <v>53</v>
      </c>
      <c r="C36" s="122" t="s">
        <v>54</v>
      </c>
      <c r="D36" s="116"/>
      <c r="E36" s="162"/>
      <c r="F36" s="114"/>
      <c r="G36" s="92"/>
      <c r="H36" s="5"/>
      <c r="I36" s="93"/>
      <c r="J36" s="92"/>
      <c r="K36" s="153">
        <f>'ingreso-mayo'!D36</f>
        <v>0</v>
      </c>
      <c r="L36" s="187">
        <f>'ingreso-junio'!D36</f>
        <v>0</v>
      </c>
      <c r="M36" s="191">
        <f>julio!D36:D82</f>
        <v>0</v>
      </c>
      <c r="N36" s="153">
        <f>agosto!D36</f>
        <v>0</v>
      </c>
      <c r="O36" s="208"/>
      <c r="P36" s="178">
        <f t="shared" si="0"/>
        <v>0</v>
      </c>
    </row>
    <row r="37" spans="2:21" ht="15.75" thickBot="1">
      <c r="C37" s="85" t="s">
        <v>55</v>
      </c>
      <c r="D37" s="95"/>
      <c r="E37" s="120"/>
      <c r="F37" s="182"/>
      <c r="G37" s="92"/>
      <c r="H37" s="5"/>
      <c r="I37" s="93"/>
      <c r="J37" s="92"/>
      <c r="K37" s="153">
        <f>'ingreso-mayo'!D37</f>
        <v>0</v>
      </c>
      <c r="L37" s="187">
        <f>'ingreso-junio'!D37</f>
        <v>0</v>
      </c>
      <c r="M37" s="191">
        <f>julio!D37:D83</f>
        <v>0</v>
      </c>
      <c r="N37" s="153">
        <f>agosto!D37</f>
        <v>0</v>
      </c>
      <c r="O37" s="208"/>
      <c r="P37" s="173">
        <f t="shared" si="0"/>
        <v>0</v>
      </c>
    </row>
    <row r="38" spans="2:21">
      <c r="C38" s="87" t="s">
        <v>56</v>
      </c>
      <c r="D38" s="240">
        <v>456017.5</v>
      </c>
      <c r="E38" s="117">
        <v>456017.5</v>
      </c>
      <c r="F38" s="114">
        <v>456017.5</v>
      </c>
      <c r="G38" s="92">
        <v>456017.5</v>
      </c>
      <c r="H38" s="5">
        <v>456017.5</v>
      </c>
      <c r="I38" s="93">
        <v>456017.5</v>
      </c>
      <c r="J38" s="92">
        <v>456017.5</v>
      </c>
      <c r="K38" s="153">
        <f>'ingreso-mayo'!D38</f>
        <v>456017.5</v>
      </c>
      <c r="L38" s="187">
        <f>'ingreso-junio'!D38</f>
        <v>456017.51</v>
      </c>
      <c r="M38" s="191">
        <f>julio!D38:D84</f>
        <v>456017.51</v>
      </c>
      <c r="N38" s="153">
        <f>agosto!D38</f>
        <v>456017.51</v>
      </c>
      <c r="O38" s="209">
        <v>456017.51</v>
      </c>
      <c r="P38" s="200">
        <f>SUM(D38:O38)</f>
        <v>5472210.0399999991</v>
      </c>
      <c r="Q38" s="252">
        <f>SUM(P38:P39)</f>
        <v>7286979.4099999983</v>
      </c>
      <c r="R38" s="80"/>
      <c r="S38" s="80"/>
      <c r="T38" s="80"/>
      <c r="U38" s="80"/>
    </row>
    <row r="39" spans="2:21" ht="15.75" thickBot="1">
      <c r="C39" s="82" t="s">
        <v>57</v>
      </c>
      <c r="D39" s="241">
        <v>151230.82</v>
      </c>
      <c r="E39" s="66">
        <v>151230.82</v>
      </c>
      <c r="F39" s="114">
        <v>151230.82</v>
      </c>
      <c r="G39" s="92"/>
      <c r="H39" s="5">
        <v>302460.46999999997</v>
      </c>
      <c r="I39" s="93">
        <v>151230.92000000001</v>
      </c>
      <c r="J39" s="92">
        <v>151230.92000000001</v>
      </c>
      <c r="K39" s="153">
        <f>'ingreso-mayo'!D39</f>
        <v>151230.92000000001</v>
      </c>
      <c r="L39" s="187">
        <f>'ingreso-junio'!D39</f>
        <v>151230.92000000001</v>
      </c>
      <c r="M39" s="191">
        <f>julio!D39:D85</f>
        <v>151230.92000000001</v>
      </c>
      <c r="N39" s="153">
        <f>agosto!D39</f>
        <v>151230.92000000001</v>
      </c>
      <c r="O39" s="208">
        <v>151230.92000000001</v>
      </c>
      <c r="P39" s="201">
        <f>SUM(D39:O39)</f>
        <v>1814769.3699999996</v>
      </c>
      <c r="Q39" s="253"/>
    </row>
    <row r="40" spans="2:21">
      <c r="C40" s="82" t="s">
        <v>58</v>
      </c>
      <c r="D40" s="92"/>
      <c r="E40" s="66"/>
      <c r="F40" s="114"/>
      <c r="G40" s="92"/>
      <c r="H40" s="5"/>
      <c r="I40" s="93"/>
      <c r="J40" s="92"/>
      <c r="K40" s="153">
        <f>'ingreso-mayo'!D40</f>
        <v>0</v>
      </c>
      <c r="L40" s="187">
        <f>'ingreso-junio'!D40</f>
        <v>0</v>
      </c>
      <c r="M40" s="191">
        <f>julio!D40:D86</f>
        <v>0</v>
      </c>
      <c r="N40" s="153">
        <f>agosto!D40</f>
        <v>0</v>
      </c>
      <c r="O40" s="208"/>
      <c r="P40" s="176">
        <f t="shared" si="0"/>
        <v>0</v>
      </c>
    </row>
    <row r="41" spans="2:21" ht="15.75" thickBot="1">
      <c r="C41" s="84" t="s">
        <v>59</v>
      </c>
      <c r="D41" s="89"/>
      <c r="E41" s="162"/>
      <c r="F41" s="114"/>
      <c r="G41" s="92"/>
      <c r="H41" s="5"/>
      <c r="I41" s="93"/>
      <c r="J41" s="92"/>
      <c r="K41" s="153">
        <f>'ingreso-mayo'!D41</f>
        <v>0</v>
      </c>
      <c r="L41" s="187">
        <f>'ingreso-junio'!D41</f>
        <v>0</v>
      </c>
      <c r="M41" s="191">
        <f>julio!D41:D87</f>
        <v>0</v>
      </c>
      <c r="N41" s="153">
        <f>agosto!D41</f>
        <v>0</v>
      </c>
      <c r="O41" s="208"/>
      <c r="P41" s="178">
        <f t="shared" si="0"/>
        <v>0</v>
      </c>
      <c r="T41" s="4"/>
    </row>
    <row r="42" spans="2:21" ht="15.75" thickBot="1">
      <c r="B42" s="2" t="s">
        <v>60</v>
      </c>
      <c r="C42" s="85" t="s">
        <v>61</v>
      </c>
      <c r="D42" s="97"/>
      <c r="E42" s="163"/>
      <c r="F42" s="114"/>
      <c r="G42" s="179"/>
      <c r="H42" s="169"/>
      <c r="I42" s="183"/>
      <c r="J42" s="179"/>
      <c r="K42" s="153">
        <f>'ingreso-mayo'!D42</f>
        <v>0</v>
      </c>
      <c r="L42" s="187">
        <f>'ingreso-junio'!D42</f>
        <v>0</v>
      </c>
      <c r="M42" s="191">
        <f>julio!D42:D88</f>
        <v>0</v>
      </c>
      <c r="N42" s="153">
        <f>agosto!D42</f>
        <v>0</v>
      </c>
      <c r="O42" s="208"/>
      <c r="P42" s="173">
        <f t="shared" si="0"/>
        <v>0</v>
      </c>
    </row>
    <row r="43" spans="2:21">
      <c r="C43" s="86" t="s">
        <v>62</v>
      </c>
      <c r="D43" s="96"/>
      <c r="E43" s="117"/>
      <c r="F43" s="114"/>
      <c r="G43" s="92"/>
      <c r="H43" s="5"/>
      <c r="I43" s="93"/>
      <c r="J43" s="92"/>
      <c r="K43" s="153">
        <f>'ingreso-mayo'!D43</f>
        <v>0</v>
      </c>
      <c r="L43" s="187">
        <f>'ingreso-junio'!D43</f>
        <v>0</v>
      </c>
      <c r="M43" s="191">
        <f>julio!D43:D89</f>
        <v>0</v>
      </c>
      <c r="N43" s="153">
        <f>agosto!D43</f>
        <v>0</v>
      </c>
      <c r="O43" s="208"/>
      <c r="P43" s="176">
        <f t="shared" si="0"/>
        <v>0</v>
      </c>
    </row>
    <row r="44" spans="2:21">
      <c r="C44" s="82" t="s">
        <v>63</v>
      </c>
      <c r="D44" s="92"/>
      <c r="E44" s="66"/>
      <c r="F44" s="114"/>
      <c r="G44" s="92"/>
      <c r="H44" s="5"/>
      <c r="I44" s="93"/>
      <c r="J44" s="92"/>
      <c r="K44" s="153">
        <f>'ingreso-mayo'!D44</f>
        <v>0</v>
      </c>
      <c r="L44" s="187">
        <f>'ingreso-junio'!D44</f>
        <v>0</v>
      </c>
      <c r="M44" s="191">
        <f>julio!D44:D90</f>
        <v>0</v>
      </c>
      <c r="N44" s="153">
        <f>agosto!D44</f>
        <v>0</v>
      </c>
      <c r="O44" s="208"/>
      <c r="P44" s="177">
        <f t="shared" si="0"/>
        <v>0</v>
      </c>
    </row>
    <row r="45" spans="2:21">
      <c r="C45" s="82" t="s">
        <v>64</v>
      </c>
      <c r="D45" s="92"/>
      <c r="E45" s="66"/>
      <c r="F45" s="114"/>
      <c r="G45" s="92"/>
      <c r="H45" s="5"/>
      <c r="I45" s="93"/>
      <c r="J45" s="92"/>
      <c r="K45" s="153">
        <f>'ingreso-mayo'!D45</f>
        <v>0</v>
      </c>
      <c r="L45" s="187">
        <f>'ingreso-junio'!D45</f>
        <v>0</v>
      </c>
      <c r="M45" s="191">
        <f>julio!D45:D91</f>
        <v>0</v>
      </c>
      <c r="N45" s="153">
        <f>agosto!D45</f>
        <v>0</v>
      </c>
      <c r="O45" s="208"/>
      <c r="P45" s="177">
        <f t="shared" si="0"/>
        <v>0</v>
      </c>
    </row>
    <row r="46" spans="2:21">
      <c r="C46" s="82" t="s">
        <v>65</v>
      </c>
      <c r="D46" s="92"/>
      <c r="E46" s="66"/>
      <c r="F46" s="114"/>
      <c r="G46" s="92"/>
      <c r="H46" s="5">
        <v>128164</v>
      </c>
      <c r="I46" s="93">
        <v>22345</v>
      </c>
      <c r="J46" s="92">
        <v>30000</v>
      </c>
      <c r="K46" s="153">
        <f>'ingreso-mayo'!D46</f>
        <v>0</v>
      </c>
      <c r="L46" s="187">
        <f>'ingreso-junio'!D46</f>
        <v>0</v>
      </c>
      <c r="M46" s="191">
        <f>julio!D46:D92</f>
        <v>0</v>
      </c>
      <c r="N46" s="153">
        <f>agosto!D46</f>
        <v>0</v>
      </c>
      <c r="O46" s="208"/>
      <c r="P46" s="177">
        <f>SUM(D46:O46)</f>
        <v>180509</v>
      </c>
    </row>
    <row r="47" spans="2:21">
      <c r="C47" s="82" t="s">
        <v>66</v>
      </c>
      <c r="D47" s="92"/>
      <c r="E47" s="66"/>
      <c r="F47" s="114"/>
      <c r="G47" s="92"/>
      <c r="H47" s="5"/>
      <c r="I47" s="93"/>
      <c r="J47" s="92"/>
      <c r="K47" s="153">
        <f>'ingreso-mayo'!D47</f>
        <v>0</v>
      </c>
      <c r="L47" s="187">
        <f>'ingreso-junio'!D47</f>
        <v>0</v>
      </c>
      <c r="M47" s="191">
        <f>julio!D47:D93</f>
        <v>0</v>
      </c>
      <c r="N47" s="153">
        <f>agosto!D47</f>
        <v>0</v>
      </c>
      <c r="O47" s="208"/>
      <c r="P47" s="177">
        <f t="shared" si="0"/>
        <v>0</v>
      </c>
    </row>
    <row r="48" spans="2:21" ht="15.75" thickBot="1">
      <c r="C48" s="83" t="s">
        <v>67</v>
      </c>
      <c r="D48" s="89"/>
      <c r="E48" s="162"/>
      <c r="F48" s="114"/>
      <c r="G48" s="92"/>
      <c r="H48" s="5"/>
      <c r="I48" s="93"/>
      <c r="J48" s="92"/>
      <c r="K48" s="153">
        <f>'ingreso-mayo'!D48</f>
        <v>0</v>
      </c>
      <c r="L48" s="187">
        <f>'ingreso-junio'!D48</f>
        <v>0</v>
      </c>
      <c r="M48" s="191">
        <f>julio!D48:D94</f>
        <v>0</v>
      </c>
      <c r="N48" s="153">
        <f>agosto!D48</f>
        <v>0</v>
      </c>
      <c r="O48" s="208"/>
      <c r="P48" s="177">
        <f t="shared" si="0"/>
        <v>0</v>
      </c>
      <c r="S48" s="199">
        <f>Q51/12</f>
        <v>22139.75</v>
      </c>
    </row>
    <row r="49" spans="3:20">
      <c r="C49" s="87" t="s">
        <v>68</v>
      </c>
      <c r="D49" s="111"/>
      <c r="E49" s="66"/>
      <c r="F49" s="114"/>
      <c r="G49" s="125"/>
      <c r="H49" s="111"/>
      <c r="I49" s="157"/>
      <c r="J49" s="125"/>
      <c r="K49" s="153">
        <f>'ingreso-mayo'!D49</f>
        <v>0</v>
      </c>
      <c r="L49" s="187">
        <f>'ingreso-junio'!D49</f>
        <v>0</v>
      </c>
      <c r="M49" s="191">
        <f>julio!D49:D95</f>
        <v>0</v>
      </c>
      <c r="N49" s="153">
        <f>agosto!D49</f>
        <v>0</v>
      </c>
      <c r="O49" s="208"/>
      <c r="P49" s="177">
        <f t="shared" si="0"/>
        <v>0</v>
      </c>
    </row>
    <row r="50" spans="3:20" ht="15.75" thickBot="1">
      <c r="C50" s="84" t="s">
        <v>69</v>
      </c>
      <c r="D50" s="98"/>
      <c r="E50" s="162"/>
      <c r="F50" s="115"/>
      <c r="G50" s="184"/>
      <c r="H50" s="180"/>
      <c r="I50" s="185"/>
      <c r="J50" s="184"/>
      <c r="K50" s="181">
        <f>'ingreso-mayo'!D50</f>
        <v>0</v>
      </c>
      <c r="L50" s="188">
        <f>'ingreso-junio'!D50</f>
        <v>0</v>
      </c>
      <c r="M50" s="192">
        <f>julio!D50:D96</f>
        <v>0</v>
      </c>
      <c r="N50" s="155">
        <f>agosto!D50</f>
        <v>0</v>
      </c>
      <c r="O50" s="210"/>
      <c r="P50" s="178">
        <f t="shared" si="0"/>
        <v>0</v>
      </c>
      <c r="Q50" s="256" t="s">
        <v>70</v>
      </c>
      <c r="R50" s="257"/>
      <c r="S50" s="131">
        <f>Q51/12</f>
        <v>22139.75</v>
      </c>
    </row>
    <row r="51" spans="3:20" ht="15.75" thickBot="1">
      <c r="C51" s="88" t="s">
        <v>71</v>
      </c>
      <c r="D51" s="124">
        <f t="shared" ref="D51:O51" si="1">SUM(D5:D50)</f>
        <v>610748.32000000007</v>
      </c>
      <c r="E51" s="27">
        <f t="shared" si="1"/>
        <v>609448.32000000007</v>
      </c>
      <c r="F51" s="167">
        <f t="shared" si="1"/>
        <v>615291.32000000007</v>
      </c>
      <c r="G51" s="127">
        <f t="shared" si="1"/>
        <v>461747.5</v>
      </c>
      <c r="H51" s="128">
        <f t="shared" si="1"/>
        <v>891461.97</v>
      </c>
      <c r="I51" s="168">
        <f t="shared" si="1"/>
        <v>635473.42000000004</v>
      </c>
      <c r="J51" s="154">
        <f t="shared" si="1"/>
        <v>643708.42000000004</v>
      </c>
      <c r="K51" s="154">
        <f t="shared" si="1"/>
        <v>614048.42000000004</v>
      </c>
      <c r="L51" s="154">
        <f t="shared" si="1"/>
        <v>620728.43000000005</v>
      </c>
      <c r="M51" s="124">
        <f t="shared" si="1"/>
        <v>614048.43000000005</v>
      </c>
      <c r="N51" s="27">
        <f t="shared" si="1"/>
        <v>621083.43000000005</v>
      </c>
      <c r="O51" s="204">
        <f t="shared" si="1"/>
        <v>614868.43000000005</v>
      </c>
      <c r="P51" s="123">
        <f>SUM(P5:P50)</f>
        <v>7552656.4099999983</v>
      </c>
      <c r="Q51" s="254">
        <f>P51-Q38</f>
        <v>265677</v>
      </c>
      <c r="R51" s="255"/>
      <c r="S51" s="202" t="s">
        <v>72</v>
      </c>
    </row>
    <row r="52" spans="3:20" ht="15.75" thickBot="1">
      <c r="D52" s="95"/>
      <c r="E52" s="121">
        <f>SUM(D51:F51)</f>
        <v>1835487.9600000002</v>
      </c>
      <c r="F52" s="156"/>
      <c r="G52" s="112"/>
      <c r="H52" s="194">
        <f>SUM(G51:I51)</f>
        <v>1988682.8900000001</v>
      </c>
      <c r="I52" s="130"/>
      <c r="J52" s="158"/>
      <c r="K52" s="195">
        <f>SUM(J51:L51)</f>
        <v>1878485.27</v>
      </c>
      <c r="L52" s="159"/>
      <c r="M52" s="193"/>
      <c r="N52" s="196">
        <f>SUM(M51:O51)</f>
        <v>1850000.29</v>
      </c>
      <c r="O52" s="206"/>
    </row>
    <row r="53" spans="3:20">
      <c r="Q53">
        <f>Q51/P51*100</f>
        <v>3.5176629993154962</v>
      </c>
      <c r="R53" s="243" t="s">
        <v>73</v>
      </c>
      <c r="S53" s="243"/>
      <c r="T53" s="243"/>
    </row>
    <row r="54" spans="3:20">
      <c r="F54" s="197">
        <f>F38*12</f>
        <v>5472210</v>
      </c>
      <c r="R54" s="242">
        <f>P51-'[1]consentrado por mes '!$L$101</f>
        <v>3288720.8199999994</v>
      </c>
      <c r="S54" s="242"/>
      <c r="T54" s="242"/>
    </row>
    <row r="55" spans="3:20">
      <c r="F55" s="198"/>
      <c r="P55" s="129"/>
    </row>
    <row r="56" spans="3:20">
      <c r="F56" s="197">
        <f>F39*12</f>
        <v>1814769.84</v>
      </c>
    </row>
    <row r="57" spans="3:20">
      <c r="F57" s="197">
        <f>SUM(F54:F56)</f>
        <v>7286979.8399999999</v>
      </c>
      <c r="P57" s="129"/>
    </row>
  </sheetData>
  <mergeCells count="9">
    <mergeCell ref="R54:T54"/>
    <mergeCell ref="R53:T53"/>
    <mergeCell ref="D3:F3"/>
    <mergeCell ref="G3:I3"/>
    <mergeCell ref="J3:L3"/>
    <mergeCell ref="M3:O3"/>
    <mergeCell ref="Q38:Q39"/>
    <mergeCell ref="Q51:R51"/>
    <mergeCell ref="Q50:R50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5FE-1355-4BC3-966B-E336F85ADE1F}">
  <dimension ref="B2:G51"/>
  <sheetViews>
    <sheetView topLeftCell="B1" workbookViewId="0">
      <selection activeCell="E13" sqref="E13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14"/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3500</v>
      </c>
      <c r="F10" s="54">
        <f>SUM(F11:F25)</f>
        <v>91.428571428571445</v>
      </c>
      <c r="G10" s="51">
        <f>(E10/E51)*100</f>
        <v>0.57306747892487031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>
        <v>300</v>
      </c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/>
      <c r="E14" s="42"/>
      <c r="F14" s="56">
        <f>D14/E10*100</f>
        <v>0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>
        <v>450</v>
      </c>
      <c r="E18" s="42"/>
      <c r="F18" s="56">
        <f>D18/E10*100</f>
        <v>12.857142857142856</v>
      </c>
      <c r="G18" s="52"/>
    </row>
    <row r="19" spans="3:7">
      <c r="C19" s="10" t="s">
        <v>36</v>
      </c>
      <c r="D19" s="5">
        <v>2250</v>
      </c>
      <c r="E19" s="42"/>
      <c r="F19" s="56">
        <f>D19/E10*100</f>
        <v>64.285714285714292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>
        <v>500</v>
      </c>
      <c r="E22" s="42"/>
      <c r="F22" s="56">
        <f>D22/E10*100</f>
        <v>14.285714285714285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/>
      <c r="F26" s="58" t="e">
        <f>SUM(F27:F32)</f>
        <v>#DIV/0!</v>
      </c>
      <c r="G26" s="36">
        <f>(E26/E51)*100</f>
        <v>0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/>
      <c r="E28" s="3"/>
      <c r="F28" s="48" t="e">
        <f>D28/E26*100</f>
        <v>#DIV/0!</v>
      </c>
      <c r="G28" s="35"/>
    </row>
    <row r="29" spans="3:7">
      <c r="C29" s="10" t="s">
        <v>80</v>
      </c>
      <c r="D29" s="5"/>
      <c r="E29" s="3"/>
      <c r="F29" s="48" t="e">
        <f>D29/E26*100</f>
        <v>#DIV/0!</v>
      </c>
      <c r="G29" s="35"/>
    </row>
    <row r="30" spans="3:7">
      <c r="C30" s="10" t="s">
        <v>47</v>
      </c>
      <c r="D30" s="5"/>
      <c r="E30" s="3"/>
      <c r="F30" s="48"/>
      <c r="G30" s="35"/>
    </row>
    <row r="31" spans="3:7">
      <c r="C31" s="10" t="s">
        <v>48</v>
      </c>
      <c r="D31" s="5"/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607248.32000000007</v>
      </c>
      <c r="F37" s="45"/>
      <c r="G37" s="36">
        <f>E37/E51*100</f>
        <v>99.42693252107513</v>
      </c>
    </row>
    <row r="38" spans="2:7">
      <c r="C38" s="10" t="s">
        <v>56</v>
      </c>
      <c r="D38" s="5">
        <v>456017.5</v>
      </c>
      <c r="E38" s="3"/>
      <c r="F38" s="48"/>
      <c r="G38" s="35"/>
    </row>
    <row r="39" spans="2:7">
      <c r="C39" s="10" t="s">
        <v>57</v>
      </c>
      <c r="D39" s="6">
        <v>151230.82</v>
      </c>
      <c r="E39" s="3"/>
      <c r="F39" s="48"/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/>
      <c r="F43" s="49"/>
      <c r="G43" s="36">
        <f>E43/E51*100</f>
        <v>0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/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610748.32000000007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04B9-75BB-45B7-A763-E4DDA9B86219}">
  <dimension ref="B2:G51"/>
  <sheetViews>
    <sheetView workbookViewId="0">
      <selection activeCell="I20" sqref="I20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14"/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2200</v>
      </c>
      <c r="F10" s="54">
        <f>SUM(F11:F25)</f>
        <v>86.36363636363636</v>
      </c>
      <c r="G10" s="51">
        <f>(E10/E51)*100</f>
        <v>0.36098220764641697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>
        <v>300</v>
      </c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/>
      <c r="E14" s="42"/>
      <c r="F14" s="56">
        <f>D14/E10*100</f>
        <v>0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/>
      <c r="E18" s="42"/>
      <c r="F18" s="56">
        <f>D18/E10*100</f>
        <v>0</v>
      </c>
      <c r="G18" s="52"/>
    </row>
    <row r="19" spans="3:7">
      <c r="C19" s="10" t="s">
        <v>36</v>
      </c>
      <c r="D19" s="5">
        <v>1900</v>
      </c>
      <c r="E19" s="42"/>
      <c r="F19" s="56">
        <f>D19/E10*100</f>
        <v>86.36363636363636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/>
      <c r="E22" s="42"/>
      <c r="F22" s="56">
        <f>D22/E10*100</f>
        <v>0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/>
      <c r="F26" s="58" t="e">
        <f>SUM(F27:F32)</f>
        <v>#DIV/0!</v>
      </c>
      <c r="G26" s="36">
        <f>(E26/E51)*100</f>
        <v>0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/>
      <c r="E28" s="3"/>
      <c r="F28" s="48" t="e">
        <f>D28/E26*100</f>
        <v>#DIV/0!</v>
      </c>
      <c r="G28" s="35"/>
    </row>
    <row r="29" spans="3:7">
      <c r="C29" s="10" t="s">
        <v>80</v>
      </c>
      <c r="D29" s="5"/>
      <c r="E29" s="3"/>
      <c r="F29" s="48" t="e">
        <f>D29/E26*100</f>
        <v>#DIV/0!</v>
      </c>
      <c r="G29" s="35"/>
    </row>
    <row r="30" spans="3:7">
      <c r="C30" s="10" t="s">
        <v>47</v>
      </c>
      <c r="D30" s="5"/>
      <c r="E30" s="3"/>
      <c r="F30" s="48"/>
      <c r="G30" s="35"/>
    </row>
    <row r="31" spans="3:7">
      <c r="C31" s="10" t="s">
        <v>48</v>
      </c>
      <c r="D31" s="5"/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607248.32000000007</v>
      </c>
      <c r="F37" s="45"/>
      <c r="G37" s="36">
        <f>E37/E51*100</f>
        <v>99.639017792353584</v>
      </c>
    </row>
    <row r="38" spans="2:7">
      <c r="C38" s="10" t="s">
        <v>56</v>
      </c>
      <c r="D38" s="5">
        <v>456017.5</v>
      </c>
      <c r="E38" s="3"/>
      <c r="F38" s="48"/>
      <c r="G38" s="35"/>
    </row>
    <row r="39" spans="2:7">
      <c r="C39" s="10" t="s">
        <v>57</v>
      </c>
      <c r="D39" s="6">
        <v>151230.82</v>
      </c>
      <c r="E39" s="3"/>
      <c r="F39" s="48"/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/>
      <c r="F43" s="49"/>
      <c r="G43" s="36">
        <f>E43/E51*100</f>
        <v>0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/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609448.32000000007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DDB9-4017-45E6-B7D1-E6FA9322C9A6}">
  <dimension ref="B2:G51"/>
  <sheetViews>
    <sheetView topLeftCell="A43" workbookViewId="0">
      <selection sqref="A1:XFD1048576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9">
        <f>SUM(D7:D9)</f>
        <v>1743</v>
      </c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>
        <v>1743</v>
      </c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6300</v>
      </c>
      <c r="F10" s="54">
        <f>SUM(F11:F25)</f>
        <v>95.238095238095241</v>
      </c>
      <c r="G10" s="51">
        <f>(E10/E51)*100</f>
        <v>1.0239052291522655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>
        <v>300</v>
      </c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/>
      <c r="E14" s="42"/>
      <c r="F14" s="56">
        <f>D14/E10*100</f>
        <v>0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/>
      <c r="E18" s="42"/>
      <c r="F18" s="56">
        <f>D18/E10*100</f>
        <v>0</v>
      </c>
      <c r="G18" s="52"/>
    </row>
    <row r="19" spans="3:7">
      <c r="C19" s="10" t="s">
        <v>36</v>
      </c>
      <c r="D19" s="5">
        <v>5100</v>
      </c>
      <c r="E19" s="42"/>
      <c r="F19" s="56">
        <f>D19/E10*100</f>
        <v>80.952380952380949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>
        <v>900</v>
      </c>
      <c r="E22" s="42"/>
      <c r="F22" s="56">
        <f>D22/E10*100</f>
        <v>14.285714285714285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/>
      <c r="F26" s="58" t="e">
        <f>SUM(F27:F32)</f>
        <v>#DIV/0!</v>
      </c>
      <c r="G26" s="36">
        <f>(E26/E51)*100</f>
        <v>0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/>
      <c r="E28" s="3"/>
      <c r="F28" s="48" t="e">
        <f>D28/E26*100</f>
        <v>#DIV/0!</v>
      </c>
      <c r="G28" s="35"/>
    </row>
    <row r="29" spans="3:7">
      <c r="C29" s="10" t="s">
        <v>80</v>
      </c>
      <c r="D29" s="5"/>
      <c r="E29" s="3"/>
      <c r="F29" s="48" t="e">
        <f>D29/E26*100</f>
        <v>#DIV/0!</v>
      </c>
      <c r="G29" s="35"/>
    </row>
    <row r="30" spans="3:7">
      <c r="C30" s="10" t="s">
        <v>47</v>
      </c>
      <c r="D30" s="5"/>
      <c r="E30" s="3"/>
      <c r="F30" s="48"/>
      <c r="G30" s="35"/>
    </row>
    <row r="31" spans="3:7">
      <c r="C31" s="10" t="s">
        <v>48</v>
      </c>
      <c r="D31" s="5"/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607248.32000000007</v>
      </c>
      <c r="F37" s="45"/>
      <c r="G37" s="36">
        <f>E37/E51*100</f>
        <v>98.692814324115602</v>
      </c>
    </row>
    <row r="38" spans="2:7">
      <c r="C38" s="10" t="s">
        <v>56</v>
      </c>
      <c r="D38" s="5">
        <v>456017.5</v>
      </c>
      <c r="E38" s="3"/>
      <c r="F38" s="48"/>
      <c r="G38" s="35"/>
    </row>
    <row r="39" spans="2:7">
      <c r="C39" s="10" t="s">
        <v>57</v>
      </c>
      <c r="D39" s="6">
        <v>151230.82</v>
      </c>
      <c r="E39" s="3"/>
      <c r="F39" s="48"/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/>
      <c r="F43" s="49"/>
      <c r="G43" s="36">
        <f>E43/E51*100</f>
        <v>0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/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615291.32000000007</v>
      </c>
      <c r="F51" s="44"/>
      <c r="G51" s="39">
        <f>SUM(G6:G50)</f>
        <v>99.716719553267865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DE19-03F7-4158-A486-609970B2B4CD}">
  <dimension ref="B2:G51"/>
  <sheetViews>
    <sheetView topLeftCell="A33" workbookViewId="0">
      <selection activeCell="D5" sqref="D5:D50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14"/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5730</v>
      </c>
      <c r="F10" s="54">
        <f>SUM(F11:F25)</f>
        <v>89.528795811518322</v>
      </c>
      <c r="G10" s="51">
        <f>(E10/E51)*100</f>
        <v>1.2409379585162887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>
        <v>600</v>
      </c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>
        <v>900</v>
      </c>
      <c r="E14" s="42"/>
      <c r="F14" s="56">
        <f>D14/E10*100</f>
        <v>15.706806282722512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>
        <v>1890</v>
      </c>
      <c r="E18" s="42"/>
      <c r="F18" s="56">
        <f>D18/E10*100</f>
        <v>32.984293193717278</v>
      </c>
      <c r="G18" s="52"/>
    </row>
    <row r="19" spans="3:7">
      <c r="C19" s="10" t="s">
        <v>36</v>
      </c>
      <c r="D19" s="5">
        <v>2340</v>
      </c>
      <c r="E19" s="42"/>
      <c r="F19" s="56">
        <f>D19/E10*100</f>
        <v>40.837696335078533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/>
      <c r="E22" s="42"/>
      <c r="F22" s="56">
        <f>D22/E10*100</f>
        <v>0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/>
      <c r="F26" s="58" t="e">
        <f>SUM(F27:F32)</f>
        <v>#DIV/0!</v>
      </c>
      <c r="G26" s="36">
        <f>(E26/E51)*100</f>
        <v>0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>
        <v>0</v>
      </c>
      <c r="E28" s="3"/>
      <c r="F28" s="48" t="e">
        <f>D28/E26*100</f>
        <v>#DIV/0!</v>
      </c>
      <c r="G28" s="35"/>
    </row>
    <row r="29" spans="3:7">
      <c r="C29" s="10" t="s">
        <v>80</v>
      </c>
      <c r="D29" s="5">
        <v>0</v>
      </c>
      <c r="E29" s="3"/>
      <c r="F29" s="48" t="e">
        <f>D29/E26*100</f>
        <v>#DIV/0!</v>
      </c>
      <c r="G29" s="35"/>
    </row>
    <row r="30" spans="3:7">
      <c r="C30" s="10" t="s">
        <v>47</v>
      </c>
      <c r="D30" s="5">
        <v>0</v>
      </c>
      <c r="E30" s="3"/>
      <c r="F30" s="48"/>
      <c r="G30" s="35"/>
    </row>
    <row r="31" spans="3:7">
      <c r="C31" s="10" t="s">
        <v>48</v>
      </c>
      <c r="D31" s="5">
        <v>0</v>
      </c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456017.5</v>
      </c>
      <c r="F37" s="45"/>
      <c r="G37" s="36">
        <f>E37/E51*100</f>
        <v>98.759062041483716</v>
      </c>
    </row>
    <row r="38" spans="2:7">
      <c r="C38" s="10" t="s">
        <v>56</v>
      </c>
      <c r="D38" s="5">
        <v>456017.5</v>
      </c>
      <c r="E38" s="3"/>
      <c r="F38" s="48"/>
      <c r="G38" s="35"/>
    </row>
    <row r="39" spans="2:7">
      <c r="C39" s="10" t="s">
        <v>57</v>
      </c>
      <c r="E39" s="3"/>
      <c r="F39" s="48"/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/>
      <c r="F43" s="49"/>
      <c r="G43" s="36">
        <f>E43/E51*100</f>
        <v>0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/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461747.5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2A24-C209-4066-AEC7-B8689B3BC58A}">
  <dimension ref="B2:G51"/>
  <sheetViews>
    <sheetView topLeftCell="A34" workbookViewId="0">
      <selection activeCell="D5" sqref="D5:D51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14"/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4320</v>
      </c>
      <c r="F10" s="54">
        <f>SUM(F11:F25)</f>
        <v>99.999999999999986</v>
      </c>
      <c r="G10" s="51">
        <f>(E10/E51)*100</f>
        <v>0.4845972285278754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/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>
        <v>1920</v>
      </c>
      <c r="E14" s="42"/>
      <c r="F14" s="56">
        <f>D14/E10*100</f>
        <v>44.444444444444443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>
        <v>960</v>
      </c>
      <c r="E18" s="42"/>
      <c r="F18" s="56">
        <f>D18/E10*100</f>
        <v>22.222222222222221</v>
      </c>
      <c r="G18" s="52"/>
    </row>
    <row r="19" spans="3:7">
      <c r="C19" s="10" t="s">
        <v>36</v>
      </c>
      <c r="D19" s="5">
        <v>1440</v>
      </c>
      <c r="E19" s="42"/>
      <c r="F19" s="56">
        <f>D19/E10*100</f>
        <v>33.333333333333329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/>
      <c r="E22" s="42"/>
      <c r="F22" s="56">
        <f>D22/E10*100</f>
        <v>0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>
        <f>SUM(D27:D35)</f>
        <v>500</v>
      </c>
      <c r="F26" s="58">
        <f>SUM(F27:F32)</f>
        <v>100</v>
      </c>
      <c r="G26" s="36">
        <f>(E26/E51)*100</f>
        <v>5.6087642190726324E-2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>
        <v>500</v>
      </c>
      <c r="E28" s="3"/>
      <c r="F28" s="48">
        <f>D28/E26*100</f>
        <v>100</v>
      </c>
      <c r="G28" s="35"/>
    </row>
    <row r="29" spans="3:7">
      <c r="C29" s="10" t="s">
        <v>80</v>
      </c>
      <c r="D29" s="5"/>
      <c r="E29" s="3"/>
      <c r="F29" s="48">
        <f>D29/E26*100</f>
        <v>0</v>
      </c>
      <c r="G29" s="35"/>
    </row>
    <row r="30" spans="3:7">
      <c r="C30" s="10" t="s">
        <v>47</v>
      </c>
      <c r="D30" s="5"/>
      <c r="E30" s="3"/>
      <c r="F30" s="48"/>
      <c r="G30" s="35"/>
    </row>
    <row r="31" spans="3:7">
      <c r="C31" s="10" t="s">
        <v>48</v>
      </c>
      <c r="D31" s="5"/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758477.97</v>
      </c>
      <c r="F37" s="45">
        <f>SUM(F38:F41)</f>
        <v>100</v>
      </c>
      <c r="G37" s="36">
        <f>E37/E51*100</f>
        <v>85.082481981816898</v>
      </c>
    </row>
    <row r="38" spans="2:7">
      <c r="C38" s="10" t="s">
        <v>56</v>
      </c>
      <c r="D38" s="5">
        <v>456017.5</v>
      </c>
      <c r="E38" s="3"/>
      <c r="F38" s="60">
        <f>D38/E37*100</f>
        <v>60.122708639777635</v>
      </c>
      <c r="G38" s="35"/>
    </row>
    <row r="39" spans="2:7">
      <c r="C39" s="10" t="s">
        <v>57</v>
      </c>
      <c r="D39" s="6">
        <v>302460.46999999997</v>
      </c>
      <c r="E39" s="3"/>
      <c r="F39" s="60">
        <f>D39/E37*100</f>
        <v>39.877291360222365</v>
      </c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>
        <f>SUM(D44:D48)</f>
        <v>128164</v>
      </c>
      <c r="F43" s="49"/>
      <c r="G43" s="36">
        <f>E43/E51*100</f>
        <v>14.376833147464495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>
        <v>128164</v>
      </c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891461.97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CCC6-B224-41E4-BB2D-27FC13F62154}">
  <dimension ref="B2:G51"/>
  <sheetViews>
    <sheetView topLeftCell="A34" workbookViewId="0">
      <selection activeCell="I44" sqref="I44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14"/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7" t="s">
        <v>27</v>
      </c>
      <c r="D10" s="8"/>
      <c r="E10" s="43">
        <f>SUM(D11:D25)</f>
        <v>3380</v>
      </c>
      <c r="F10" s="54">
        <f>SUM(F11:F25)</f>
        <v>100.00000000000001</v>
      </c>
      <c r="G10" s="51">
        <f>(E10/E51)*100</f>
        <v>0.53188691983372016</v>
      </c>
    </row>
    <row r="11" spans="2:7">
      <c r="C11" s="10" t="s">
        <v>28</v>
      </c>
      <c r="D11" s="5"/>
      <c r="E11" s="42"/>
      <c r="F11" s="55"/>
      <c r="G11" s="52"/>
    </row>
    <row r="12" spans="2:7">
      <c r="C12" s="10" t="s">
        <v>29</v>
      </c>
      <c r="D12" s="5"/>
      <c r="E12" s="42"/>
      <c r="F12" s="55"/>
      <c r="G12" s="52"/>
    </row>
    <row r="13" spans="2:7">
      <c r="C13" s="10" t="s">
        <v>30</v>
      </c>
      <c r="D13" s="5"/>
      <c r="E13" s="42"/>
      <c r="F13" s="55"/>
      <c r="G13" s="52"/>
    </row>
    <row r="14" spans="2:7">
      <c r="C14" s="10" t="s">
        <v>31</v>
      </c>
      <c r="D14" s="5">
        <v>1440</v>
      </c>
      <c r="E14" s="42"/>
      <c r="F14" s="56">
        <f>D14/E10*100</f>
        <v>42.603550295857993</v>
      </c>
      <c r="G14" s="52"/>
    </row>
    <row r="15" spans="2:7">
      <c r="C15" s="10" t="s">
        <v>32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34</v>
      </c>
      <c r="D17" s="5"/>
      <c r="E17" s="42"/>
      <c r="F17" s="55"/>
      <c r="G17" s="52"/>
    </row>
    <row r="18" spans="3:7">
      <c r="C18" s="10" t="s">
        <v>35</v>
      </c>
      <c r="D18" s="5">
        <v>480</v>
      </c>
      <c r="E18" s="42"/>
      <c r="F18" s="56">
        <f>D18/E10*100</f>
        <v>14.201183431952662</v>
      </c>
      <c r="G18" s="52"/>
    </row>
    <row r="19" spans="3:7">
      <c r="C19" s="10" t="s">
        <v>36</v>
      </c>
      <c r="D19" s="5">
        <v>960</v>
      </c>
      <c r="E19" s="42"/>
      <c r="F19" s="56">
        <f>D19/E10*100</f>
        <v>28.402366863905325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38</v>
      </c>
      <c r="D21" s="5"/>
      <c r="E21" s="42"/>
      <c r="F21" s="55"/>
      <c r="G21" s="52"/>
    </row>
    <row r="22" spans="3:7">
      <c r="C22" s="10" t="s">
        <v>39</v>
      </c>
      <c r="D22" s="5">
        <v>500</v>
      </c>
      <c r="E22" s="42"/>
      <c r="F22" s="56">
        <f>D22/E10*100</f>
        <v>14.792899408284024</v>
      </c>
      <c r="G22" s="52"/>
    </row>
    <row r="23" spans="3:7">
      <c r="C23" s="10" t="s">
        <v>40</v>
      </c>
      <c r="D23" s="5"/>
      <c r="E23" s="42"/>
      <c r="F23" s="55"/>
      <c r="G23" s="52"/>
    </row>
    <row r="24" spans="3:7">
      <c r="C24" s="10" t="s">
        <v>41</v>
      </c>
      <c r="D24" s="5"/>
      <c r="E24" s="42"/>
      <c r="F24" s="55"/>
      <c r="G24" s="52"/>
    </row>
    <row r="25" spans="3:7" ht="15.75" thickBot="1">
      <c r="C25" s="11" t="s">
        <v>42</v>
      </c>
      <c r="D25" s="12"/>
      <c r="E25" s="41"/>
      <c r="F25" s="57"/>
      <c r="G25" s="53"/>
    </row>
    <row r="26" spans="3:7">
      <c r="C26" s="7" t="s">
        <v>43</v>
      </c>
      <c r="D26" s="8"/>
      <c r="E26" s="9">
        <f>SUM(D27:D32)</f>
        <v>2500</v>
      </c>
      <c r="F26" s="58">
        <f>SUM(F27:F32)</f>
        <v>100</v>
      </c>
      <c r="G26" s="36">
        <f>(E26/E51)*100</f>
        <v>0.3934074850841125</v>
      </c>
    </row>
    <row r="27" spans="3:7">
      <c r="C27" s="10" t="s">
        <v>44</v>
      </c>
      <c r="D27" s="5"/>
      <c r="E27" s="3"/>
      <c r="F27" s="48"/>
      <c r="G27" s="35"/>
    </row>
    <row r="28" spans="3:7">
      <c r="C28" s="10" t="s">
        <v>79</v>
      </c>
      <c r="D28" s="5">
        <v>500</v>
      </c>
      <c r="E28" s="3"/>
      <c r="F28" s="48">
        <f>D28/E26*100</f>
        <v>20</v>
      </c>
      <c r="G28" s="35"/>
    </row>
    <row r="29" spans="3:7">
      <c r="C29" s="10" t="s">
        <v>80</v>
      </c>
      <c r="D29" s="5">
        <v>2000</v>
      </c>
      <c r="E29" s="3"/>
      <c r="F29" s="48">
        <f>D29/E26*100</f>
        <v>80</v>
      </c>
      <c r="G29" s="35"/>
    </row>
    <row r="30" spans="3:7">
      <c r="C30" s="10" t="s">
        <v>47</v>
      </c>
      <c r="D30" s="5"/>
      <c r="E30" s="3"/>
      <c r="F30" s="48"/>
      <c r="G30" s="35"/>
    </row>
    <row r="31" spans="3:7">
      <c r="C31" s="10" t="s">
        <v>48</v>
      </c>
      <c r="D31" s="5"/>
      <c r="E31" s="3"/>
      <c r="F31" s="48"/>
      <c r="G31" s="35"/>
    </row>
    <row r="32" spans="3:7" ht="15.75" thickBot="1">
      <c r="C32" s="11" t="s">
        <v>49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51</v>
      </c>
      <c r="D34" s="5"/>
      <c r="E34" s="3"/>
      <c r="F34" s="48"/>
      <c r="G34" s="35"/>
    </row>
    <row r="35" spans="2:7" ht="15.75" thickBot="1">
      <c r="C35" s="11" t="s">
        <v>52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607248.42000000004</v>
      </c>
      <c r="F37" s="45"/>
      <c r="G37" s="36">
        <f>E37/E51*100</f>
        <v>95.558429493400368</v>
      </c>
    </row>
    <row r="38" spans="2:7">
      <c r="C38" s="10" t="s">
        <v>56</v>
      </c>
      <c r="D38" s="5">
        <v>456017.5</v>
      </c>
      <c r="E38" s="3"/>
      <c r="F38" s="48"/>
      <c r="G38" s="35"/>
    </row>
    <row r="39" spans="2:7">
      <c r="C39" s="10" t="s">
        <v>57</v>
      </c>
      <c r="D39" s="5">
        <v>151230.92000000001</v>
      </c>
      <c r="E39" s="3"/>
      <c r="F39" s="48"/>
      <c r="G39" s="35"/>
    </row>
    <row r="40" spans="2:7">
      <c r="C40" s="10" t="s">
        <v>58</v>
      </c>
      <c r="D40" s="5"/>
      <c r="E40" s="3"/>
      <c r="F40" s="48"/>
      <c r="G40" s="35"/>
    </row>
    <row r="41" spans="2:7" ht="15.75" thickBot="1">
      <c r="C41" s="11" t="s">
        <v>59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>
        <f>SUM(D44:D48)</f>
        <v>22345</v>
      </c>
      <c r="F43" s="49"/>
      <c r="G43" s="36">
        <f>E43/E51*100</f>
        <v>3.5162761016817976</v>
      </c>
    </row>
    <row r="44" spans="2:7">
      <c r="C44" s="10" t="s">
        <v>63</v>
      </c>
      <c r="D44" s="5"/>
      <c r="E44" s="3"/>
      <c r="F44" s="48"/>
      <c r="G44" s="35"/>
    </row>
    <row r="45" spans="2:7">
      <c r="C45" s="10" t="s">
        <v>64</v>
      </c>
      <c r="D45" s="5"/>
      <c r="E45" s="3"/>
      <c r="F45" s="48"/>
      <c r="G45" s="35"/>
    </row>
    <row r="46" spans="2:7">
      <c r="C46" s="10" t="s">
        <v>65</v>
      </c>
      <c r="D46" s="5">
        <v>22345</v>
      </c>
      <c r="E46" s="3"/>
      <c r="F46" s="48"/>
      <c r="G46" s="35"/>
    </row>
    <row r="47" spans="2:7">
      <c r="C47" s="10" t="s">
        <v>66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635473.42000000004</v>
      </c>
      <c r="F51" s="44"/>
      <c r="G51" s="39">
        <f>SUM(G6:G50)</f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7B08-DD9F-481B-8B86-04D373328091}">
  <dimension ref="B2:G51"/>
  <sheetViews>
    <sheetView topLeftCell="A34" workbookViewId="0">
      <selection activeCell="K55" sqref="K55"/>
    </sheetView>
  </sheetViews>
  <sheetFormatPr defaultColWidth="11.42578125" defaultRowHeight="15"/>
  <cols>
    <col min="2" max="2" width="10.85546875" style="1"/>
    <col min="3" max="3" width="51.140625" customWidth="1"/>
    <col min="4" max="4" width="14.5703125" style="6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30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2"/>
      <c r="E5" s="13"/>
      <c r="F5" s="46"/>
      <c r="G5" s="34"/>
    </row>
    <row r="6" spans="2:7">
      <c r="C6" s="7" t="s">
        <v>23</v>
      </c>
      <c r="D6" s="8"/>
      <c r="E6" s="9">
        <f>SUM(D7:D9)</f>
        <v>0</v>
      </c>
      <c r="F6" s="47"/>
      <c r="G6" s="32"/>
    </row>
    <row r="7" spans="2:7">
      <c r="C7" s="10" t="s">
        <v>24</v>
      </c>
      <c r="D7" s="5"/>
      <c r="E7" s="3"/>
      <c r="F7" s="48"/>
      <c r="G7" s="35"/>
    </row>
    <row r="8" spans="2:7">
      <c r="C8" s="10" t="s">
        <v>25</v>
      </c>
      <c r="D8" s="5"/>
      <c r="E8" s="3"/>
      <c r="F8" s="48"/>
      <c r="G8" s="35"/>
    </row>
    <row r="9" spans="2:7" ht="15.75" thickBot="1">
      <c r="C9" s="11" t="s">
        <v>26</v>
      </c>
      <c r="D9" s="12"/>
      <c r="E9" s="13"/>
      <c r="F9" s="46"/>
      <c r="G9" s="34"/>
    </row>
    <row r="10" spans="2:7" ht="15.75" thickBot="1">
      <c r="C10" s="63" t="s">
        <v>27</v>
      </c>
      <c r="D10" s="64"/>
      <c r="E10" s="71">
        <f>SUM(D11:D25)</f>
        <v>960</v>
      </c>
      <c r="F10" s="54">
        <f>SUM(F11:F25)</f>
        <v>100</v>
      </c>
      <c r="G10" s="72">
        <f>(E10/E51)*100</f>
        <v>0.14913584631998442</v>
      </c>
    </row>
    <row r="11" spans="2:7">
      <c r="C11" s="61" t="s">
        <v>28</v>
      </c>
      <c r="D11" s="62"/>
      <c r="E11" s="68"/>
      <c r="F11" s="69"/>
      <c r="G11" s="70"/>
    </row>
    <row r="12" spans="2:7">
      <c r="C12" s="10" t="s">
        <v>81</v>
      </c>
      <c r="D12" s="5"/>
      <c r="E12" s="42"/>
      <c r="F12" s="55"/>
      <c r="G12" s="52"/>
    </row>
    <row r="13" spans="2:7">
      <c r="C13" s="10" t="s">
        <v>82</v>
      </c>
      <c r="D13" s="5"/>
      <c r="E13" s="42"/>
      <c r="F13" s="55"/>
      <c r="G13" s="52"/>
    </row>
    <row r="14" spans="2:7">
      <c r="C14" s="10" t="s">
        <v>83</v>
      </c>
      <c r="D14" s="5"/>
      <c r="E14" s="42"/>
      <c r="F14" s="56">
        <f>D14/E10*100</f>
        <v>0</v>
      </c>
      <c r="G14" s="52"/>
    </row>
    <row r="15" spans="2:7">
      <c r="C15" s="10" t="s">
        <v>84</v>
      </c>
      <c r="D15" s="5"/>
      <c r="E15" s="42"/>
      <c r="F15" s="55"/>
      <c r="G15" s="52"/>
    </row>
    <row r="16" spans="2:7">
      <c r="C16" s="10" t="s">
        <v>33</v>
      </c>
      <c r="D16" s="5"/>
      <c r="E16" s="42"/>
      <c r="F16" s="55"/>
      <c r="G16" s="52"/>
    </row>
    <row r="17" spans="3:7">
      <c r="C17" s="10" t="s">
        <v>85</v>
      </c>
      <c r="D17" s="5"/>
      <c r="E17" s="42"/>
      <c r="F17" s="55"/>
      <c r="G17" s="52"/>
    </row>
    <row r="18" spans="3:7">
      <c r="C18" s="10" t="s">
        <v>86</v>
      </c>
      <c r="D18" s="5"/>
      <c r="E18" s="42"/>
      <c r="F18" s="56">
        <f>D18/E10*100</f>
        <v>0</v>
      </c>
      <c r="G18" s="52"/>
    </row>
    <row r="19" spans="3:7">
      <c r="C19" s="10" t="s">
        <v>87</v>
      </c>
      <c r="D19" s="5">
        <v>960</v>
      </c>
      <c r="E19" s="42"/>
      <c r="F19" s="56">
        <f>D19/E10*100</f>
        <v>100</v>
      </c>
      <c r="G19" s="52"/>
    </row>
    <row r="20" spans="3:7">
      <c r="C20" s="10" t="s">
        <v>37</v>
      </c>
      <c r="D20" s="5"/>
      <c r="E20" s="42"/>
      <c r="F20" s="55"/>
      <c r="G20" s="52"/>
    </row>
    <row r="21" spans="3:7">
      <c r="C21" s="10" t="s">
        <v>88</v>
      </c>
      <c r="D21" s="5"/>
      <c r="E21" s="42"/>
      <c r="F21" s="55"/>
      <c r="G21" s="52"/>
    </row>
    <row r="22" spans="3:7">
      <c r="C22" s="10" t="s">
        <v>89</v>
      </c>
      <c r="D22" s="5"/>
      <c r="E22" s="42"/>
      <c r="F22" s="56">
        <f>D22/E10*100</f>
        <v>0</v>
      </c>
      <c r="G22" s="52"/>
    </row>
    <row r="23" spans="3:7">
      <c r="C23" s="10" t="s">
        <v>90</v>
      </c>
      <c r="D23" s="5"/>
      <c r="E23" s="42"/>
      <c r="F23" s="55"/>
      <c r="G23" s="52"/>
    </row>
    <row r="24" spans="3:7">
      <c r="C24" s="10" t="s">
        <v>91</v>
      </c>
      <c r="D24" s="5"/>
      <c r="E24" s="42"/>
      <c r="F24" s="55"/>
      <c r="G24" s="52"/>
    </row>
    <row r="25" spans="3:7" ht="15.75" thickBot="1">
      <c r="C25" s="11" t="s">
        <v>92</v>
      </c>
      <c r="D25" s="12"/>
      <c r="E25" s="41"/>
      <c r="F25" s="57"/>
      <c r="G25" s="53"/>
    </row>
    <row r="26" spans="3:7" ht="15.75" thickBot="1">
      <c r="C26" s="63" t="s">
        <v>43</v>
      </c>
      <c r="D26" s="64"/>
      <c r="E26" s="77">
        <f>SUM(D27:D32)</f>
        <v>5500</v>
      </c>
      <c r="F26" s="78">
        <f>SUM(F27:F32)</f>
        <v>100</v>
      </c>
      <c r="G26" s="79">
        <f>(E26/E51)*100</f>
        <v>0.85442411954157749</v>
      </c>
    </row>
    <row r="27" spans="3:7">
      <c r="C27" s="73" t="s">
        <v>44</v>
      </c>
      <c r="D27" s="62"/>
      <c r="E27" s="74"/>
      <c r="F27" s="75"/>
      <c r="G27" s="76"/>
    </row>
    <row r="28" spans="3:7">
      <c r="C28" s="10" t="s">
        <v>93</v>
      </c>
      <c r="D28" s="5">
        <v>5000</v>
      </c>
      <c r="E28" s="3"/>
      <c r="F28" s="48">
        <f>D28/E26*100</f>
        <v>90.909090909090907</v>
      </c>
      <c r="G28" s="35"/>
    </row>
    <row r="29" spans="3:7">
      <c r="C29" s="10" t="s">
        <v>94</v>
      </c>
      <c r="D29" s="5">
        <v>500</v>
      </c>
      <c r="E29" s="3"/>
      <c r="F29" s="48">
        <f>D29/E26*100</f>
        <v>9.0909090909090917</v>
      </c>
      <c r="G29" s="35"/>
    </row>
    <row r="30" spans="3:7">
      <c r="C30" s="10" t="s">
        <v>95</v>
      </c>
      <c r="D30" s="5"/>
      <c r="E30" s="3"/>
      <c r="F30" s="48"/>
      <c r="G30" s="35"/>
    </row>
    <row r="31" spans="3:7">
      <c r="C31" s="10" t="s">
        <v>96</v>
      </c>
      <c r="D31" s="5"/>
      <c r="E31" s="3"/>
      <c r="F31" s="48"/>
      <c r="G31" s="35"/>
    </row>
    <row r="32" spans="3:7" ht="15.75" thickBot="1">
      <c r="C32" s="11" t="s">
        <v>97</v>
      </c>
      <c r="D32" s="12"/>
      <c r="E32" s="13"/>
      <c r="F32" s="46"/>
      <c r="G32" s="34"/>
    </row>
    <row r="33" spans="2:7">
      <c r="C33" s="7" t="s">
        <v>50</v>
      </c>
      <c r="D33" s="8"/>
      <c r="E33" s="14"/>
      <c r="F33" s="47"/>
      <c r="G33" s="32"/>
    </row>
    <row r="34" spans="2:7">
      <c r="C34" s="10" t="s">
        <v>98</v>
      </c>
      <c r="D34" s="5"/>
      <c r="E34" s="3"/>
      <c r="F34" s="48"/>
      <c r="G34" s="35"/>
    </row>
    <row r="35" spans="2:7" ht="15.75" thickBot="1">
      <c r="C35" s="11" t="s">
        <v>99</v>
      </c>
      <c r="D35" s="12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6"/>
      <c r="E36" s="17"/>
      <c r="F36" s="33"/>
      <c r="G36" s="37"/>
    </row>
    <row r="37" spans="2:7">
      <c r="C37" s="7" t="s">
        <v>55</v>
      </c>
      <c r="D37" s="8"/>
      <c r="E37" s="9">
        <f>SUM(D38:D41)</f>
        <v>607248.42000000004</v>
      </c>
      <c r="F37" s="45"/>
      <c r="G37" s="36">
        <f>E37/E51*100</f>
        <v>94.33594483663893</v>
      </c>
    </row>
    <row r="38" spans="2:7">
      <c r="C38" s="10" t="s">
        <v>100</v>
      </c>
      <c r="D38" s="5">
        <v>456017.5</v>
      </c>
      <c r="E38" s="3"/>
      <c r="F38" s="48"/>
      <c r="G38" s="35"/>
    </row>
    <row r="39" spans="2:7">
      <c r="C39" s="10" t="s">
        <v>101</v>
      </c>
      <c r="D39" s="6">
        <v>151230.92000000001</v>
      </c>
      <c r="E39" s="3"/>
      <c r="F39" s="48"/>
      <c r="G39" s="35"/>
    </row>
    <row r="40" spans="2:7">
      <c r="C40" s="10" t="s">
        <v>102</v>
      </c>
      <c r="D40" s="5"/>
      <c r="E40" s="3"/>
      <c r="F40" s="48"/>
      <c r="G40" s="35"/>
    </row>
    <row r="41" spans="2:7" ht="15.75" thickBot="1">
      <c r="C41" s="11" t="s">
        <v>103</v>
      </c>
      <c r="D41" s="12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8"/>
      <c r="E42" s="17"/>
      <c r="F42" s="33"/>
      <c r="G42" s="37"/>
    </row>
    <row r="43" spans="2:7">
      <c r="C43" s="7" t="s">
        <v>62</v>
      </c>
      <c r="D43" s="8"/>
      <c r="E43" s="21">
        <f>SUM(D44:D48)</f>
        <v>30000</v>
      </c>
      <c r="F43" s="49"/>
      <c r="G43" s="36">
        <f>E43/E51*100</f>
        <v>4.6604951974995128</v>
      </c>
    </row>
    <row r="44" spans="2:7">
      <c r="C44" s="10" t="s">
        <v>104</v>
      </c>
      <c r="D44" s="5"/>
      <c r="E44" s="3"/>
      <c r="F44" s="48"/>
      <c r="G44" s="35"/>
    </row>
    <row r="45" spans="2:7">
      <c r="C45" s="10" t="s">
        <v>105</v>
      </c>
      <c r="D45" s="5"/>
      <c r="E45" s="3"/>
      <c r="F45" s="48"/>
      <c r="G45" s="35"/>
    </row>
    <row r="46" spans="2:7">
      <c r="C46" s="10" t="s">
        <v>106</v>
      </c>
      <c r="D46" s="5">
        <v>30000</v>
      </c>
      <c r="E46" s="3"/>
      <c r="F46" s="48"/>
      <c r="G46" s="35"/>
    </row>
    <row r="47" spans="2:7">
      <c r="C47" s="10" t="s">
        <v>107</v>
      </c>
      <c r="D47" s="5"/>
      <c r="E47" s="3"/>
      <c r="F47" s="48"/>
      <c r="G47" s="35"/>
    </row>
    <row r="48" spans="2:7" ht="15.75" thickBot="1">
      <c r="C48" s="11" t="s">
        <v>67</v>
      </c>
      <c r="D48" s="12"/>
      <c r="E48" s="13"/>
      <c r="F48" s="46"/>
      <c r="G48" s="34"/>
    </row>
    <row r="49" spans="3:7">
      <c r="C49" s="22" t="s">
        <v>68</v>
      </c>
      <c r="D49" s="23"/>
      <c r="E49" s="14"/>
      <c r="F49" s="47"/>
      <c r="G49" s="32"/>
    </row>
    <row r="50" spans="3:7" ht="15.75" thickBot="1">
      <c r="C50" s="24" t="s">
        <v>69</v>
      </c>
      <c r="D50" s="25"/>
      <c r="E50" s="26"/>
      <c r="F50" s="50"/>
      <c r="G50" s="38"/>
    </row>
    <row r="51" spans="3:7" ht="15.75" thickBot="1">
      <c r="C51" s="59" t="s">
        <v>71</v>
      </c>
      <c r="D51" s="27"/>
      <c r="E51" s="28">
        <f>SUM(E6:E50)</f>
        <v>643708.42000000004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9C68-BA21-47A8-A817-0454739E7510}">
  <sheetPr>
    <tabColor rgb="FFFFC000"/>
  </sheetPr>
  <dimension ref="B2:G51"/>
  <sheetViews>
    <sheetView workbookViewId="0">
      <selection activeCell="E22" sqref="E22"/>
    </sheetView>
  </sheetViews>
  <sheetFormatPr defaultColWidth="11.42578125" defaultRowHeight="15"/>
  <cols>
    <col min="2" max="2" width="10.85546875" style="1"/>
    <col min="3" max="3" width="51.140625" customWidth="1"/>
    <col min="4" max="4" width="12.28515625" style="101" bestFit="1" customWidth="1"/>
    <col min="5" max="5" width="12.28515625" bestFit="1" customWidth="1"/>
    <col min="6" max="6" width="12.28515625" style="4" customWidth="1"/>
    <col min="7" max="7" width="10.85546875" style="29"/>
  </cols>
  <sheetData>
    <row r="2" spans="2:7">
      <c r="C2" s="29" t="s">
        <v>0</v>
      </c>
      <c r="D2" s="100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102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03"/>
      <c r="E5" s="13"/>
      <c r="F5" s="46"/>
      <c r="G5" s="34"/>
    </row>
    <row r="6" spans="2:7">
      <c r="C6" s="7" t="s">
        <v>23</v>
      </c>
      <c r="D6" s="104"/>
      <c r="E6" s="9">
        <f>SUM(D7:D9)</f>
        <v>0</v>
      </c>
      <c r="F6" s="47"/>
      <c r="G6" s="32"/>
    </row>
    <row r="7" spans="2:7">
      <c r="C7" s="10" t="s">
        <v>24</v>
      </c>
      <c r="D7" s="105"/>
      <c r="E7" s="3"/>
      <c r="F7" s="48"/>
      <c r="G7" s="35"/>
    </row>
    <row r="8" spans="2:7">
      <c r="C8" s="10" t="s">
        <v>25</v>
      </c>
      <c r="D8" s="105"/>
      <c r="E8" s="3"/>
      <c r="F8" s="48"/>
      <c r="G8" s="35"/>
    </row>
    <row r="9" spans="2:7" ht="15.75" thickBot="1">
      <c r="C9" s="11" t="s">
        <v>26</v>
      </c>
      <c r="D9" s="103"/>
      <c r="E9" s="13"/>
      <c r="F9" s="46"/>
      <c r="G9" s="34"/>
    </row>
    <row r="10" spans="2:7" ht="15.75" thickBot="1">
      <c r="C10" s="7" t="s">
        <v>27</v>
      </c>
      <c r="D10" s="104"/>
      <c r="E10" s="43">
        <f>SUM(D11:D25)</f>
        <v>6800</v>
      </c>
      <c r="F10" s="54">
        <f>SUM(F11:F25)</f>
        <v>35.294117647058826</v>
      </c>
      <c r="G10" s="51">
        <f>(E10/E51)*100</f>
        <v>1.1074045268286823</v>
      </c>
    </row>
    <row r="11" spans="2:7">
      <c r="C11" s="65" t="s">
        <v>28</v>
      </c>
      <c r="D11" s="105"/>
      <c r="E11" s="42"/>
      <c r="F11" s="55"/>
      <c r="G11" s="52"/>
    </row>
    <row r="12" spans="2:7">
      <c r="C12" s="10" t="s">
        <v>81</v>
      </c>
      <c r="D12" s="105">
        <v>4400</v>
      </c>
      <c r="E12" s="42"/>
      <c r="F12" s="55"/>
      <c r="G12" s="52"/>
    </row>
    <row r="13" spans="2:7">
      <c r="C13" s="10" t="s">
        <v>82</v>
      </c>
      <c r="D13" s="105"/>
      <c r="E13" s="42"/>
      <c r="F13" s="55"/>
      <c r="G13" s="52"/>
    </row>
    <row r="14" spans="2:7">
      <c r="C14" s="10" t="s">
        <v>83</v>
      </c>
      <c r="D14" s="105"/>
      <c r="E14" s="42"/>
      <c r="F14" s="56">
        <f>D14/E10*100</f>
        <v>0</v>
      </c>
      <c r="G14" s="52"/>
    </row>
    <row r="15" spans="2:7">
      <c r="C15" s="10" t="s">
        <v>84</v>
      </c>
      <c r="D15" s="105"/>
      <c r="E15" s="42"/>
      <c r="F15" s="55"/>
      <c r="G15" s="52"/>
    </row>
    <row r="16" spans="2:7">
      <c r="C16" s="10" t="s">
        <v>33</v>
      </c>
      <c r="D16" s="105"/>
      <c r="E16" s="42"/>
      <c r="F16" s="55"/>
      <c r="G16" s="52"/>
    </row>
    <row r="17" spans="3:7">
      <c r="C17" s="10" t="s">
        <v>85</v>
      </c>
      <c r="D17" s="105"/>
      <c r="E17" s="42"/>
      <c r="F17" s="55"/>
      <c r="G17" s="52"/>
    </row>
    <row r="18" spans="3:7">
      <c r="C18" s="10" t="s">
        <v>86</v>
      </c>
      <c r="D18" s="105">
        <v>480</v>
      </c>
      <c r="E18" s="42"/>
      <c r="F18" s="56">
        <f>D18/E10*100</f>
        <v>7.0588235294117645</v>
      </c>
      <c r="G18" s="52"/>
    </row>
    <row r="19" spans="3:7">
      <c r="C19" s="10" t="s">
        <v>87</v>
      </c>
      <c r="D19" s="105">
        <v>1920</v>
      </c>
      <c r="E19" s="42"/>
      <c r="F19" s="56">
        <f>D19/E10*100</f>
        <v>28.235294117647058</v>
      </c>
      <c r="G19" s="52"/>
    </row>
    <row r="20" spans="3:7">
      <c r="C20" s="10" t="s">
        <v>37</v>
      </c>
      <c r="D20" s="105"/>
      <c r="E20" s="42"/>
      <c r="F20" s="55"/>
      <c r="G20" s="52"/>
    </row>
    <row r="21" spans="3:7">
      <c r="C21" s="10" t="s">
        <v>88</v>
      </c>
      <c r="D21" s="105"/>
      <c r="E21" s="42"/>
      <c r="F21" s="55"/>
      <c r="G21" s="52"/>
    </row>
    <row r="22" spans="3:7">
      <c r="C22" s="10" t="s">
        <v>89</v>
      </c>
      <c r="D22" s="105"/>
      <c r="E22" s="42"/>
      <c r="F22" s="56">
        <f>D22/E10*100</f>
        <v>0</v>
      </c>
      <c r="G22" s="52"/>
    </row>
    <row r="23" spans="3:7">
      <c r="C23" s="10" t="s">
        <v>90</v>
      </c>
      <c r="D23" s="105"/>
      <c r="E23" s="42"/>
      <c r="F23" s="55"/>
      <c r="G23" s="52"/>
    </row>
    <row r="24" spans="3:7">
      <c r="C24" s="10" t="s">
        <v>91</v>
      </c>
      <c r="D24" s="105"/>
      <c r="E24" s="42"/>
      <c r="F24" s="55"/>
      <c r="G24" s="52"/>
    </row>
    <row r="25" spans="3:7" ht="15.75" thickBot="1">
      <c r="C25" s="11" t="s">
        <v>92</v>
      </c>
      <c r="D25" s="103"/>
      <c r="E25" s="41"/>
      <c r="F25" s="57"/>
      <c r="G25" s="53"/>
    </row>
    <row r="26" spans="3:7">
      <c r="C26" s="7" t="s">
        <v>43</v>
      </c>
      <c r="D26" s="104"/>
      <c r="E26" s="9"/>
      <c r="F26" s="58" t="e">
        <f>SUM(F27:F32)</f>
        <v>#DIV/0!</v>
      </c>
      <c r="G26" s="36">
        <f>(E26/E51)*100</f>
        <v>0</v>
      </c>
    </row>
    <row r="27" spans="3:7">
      <c r="C27" s="10" t="s">
        <v>44</v>
      </c>
      <c r="D27" s="105"/>
      <c r="E27" s="3"/>
      <c r="F27" s="48"/>
      <c r="G27" s="35"/>
    </row>
    <row r="28" spans="3:7">
      <c r="C28" s="10" t="s">
        <v>93</v>
      </c>
      <c r="D28" s="105"/>
      <c r="E28" s="3"/>
      <c r="F28" s="48" t="e">
        <f>D28/E26*100</f>
        <v>#DIV/0!</v>
      </c>
      <c r="G28" s="35"/>
    </row>
    <row r="29" spans="3:7">
      <c r="C29" s="10" t="s">
        <v>94</v>
      </c>
      <c r="D29" s="105"/>
      <c r="E29" s="3"/>
      <c r="F29" s="48" t="e">
        <f>D29/E26*100</f>
        <v>#DIV/0!</v>
      </c>
      <c r="G29" s="35"/>
    </row>
    <row r="30" spans="3:7">
      <c r="C30" s="10" t="s">
        <v>95</v>
      </c>
      <c r="D30" s="105"/>
      <c r="E30" s="3"/>
      <c r="F30" s="48"/>
      <c r="G30" s="35"/>
    </row>
    <row r="31" spans="3:7">
      <c r="C31" s="10" t="s">
        <v>96</v>
      </c>
      <c r="D31" s="105"/>
      <c r="E31" s="3"/>
      <c r="F31" s="48"/>
      <c r="G31" s="35"/>
    </row>
    <row r="32" spans="3:7" ht="15.75" thickBot="1">
      <c r="C32" s="11" t="s">
        <v>97</v>
      </c>
      <c r="D32" s="103"/>
      <c r="E32" s="13"/>
      <c r="F32" s="46"/>
      <c r="G32" s="34"/>
    </row>
    <row r="33" spans="2:7">
      <c r="C33" s="7" t="s">
        <v>50</v>
      </c>
      <c r="D33" s="104"/>
      <c r="E33" s="14"/>
      <c r="F33" s="47"/>
      <c r="G33" s="32"/>
    </row>
    <row r="34" spans="2:7">
      <c r="C34" s="10" t="s">
        <v>98</v>
      </c>
      <c r="D34" s="105"/>
      <c r="E34" s="3"/>
      <c r="F34" s="48"/>
      <c r="G34" s="35"/>
    </row>
    <row r="35" spans="2:7" ht="15.75" thickBot="1">
      <c r="C35" s="11" t="s">
        <v>99</v>
      </c>
      <c r="D35" s="103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06"/>
      <c r="E36" s="17"/>
      <c r="F36" s="33"/>
      <c r="G36" s="37"/>
    </row>
    <row r="37" spans="2:7">
      <c r="C37" s="7" t="s">
        <v>55</v>
      </c>
      <c r="D37" s="104"/>
      <c r="E37" s="9">
        <f>SUM(D38:D41)</f>
        <v>607248.42000000004</v>
      </c>
      <c r="F37" s="45"/>
      <c r="G37" s="36">
        <f>E37/E51*100</f>
        <v>98.892595473171312</v>
      </c>
    </row>
    <row r="38" spans="2:7">
      <c r="C38" s="10" t="s">
        <v>100</v>
      </c>
      <c r="D38" s="105">
        <v>456017.5</v>
      </c>
      <c r="E38" s="3"/>
      <c r="F38" s="48"/>
      <c r="G38" s="35"/>
    </row>
    <row r="39" spans="2:7">
      <c r="C39" s="10" t="s">
        <v>101</v>
      </c>
      <c r="D39" s="101">
        <v>151230.92000000001</v>
      </c>
      <c r="E39" s="3"/>
      <c r="F39" s="48"/>
      <c r="G39" s="35"/>
    </row>
    <row r="40" spans="2:7">
      <c r="C40" s="10" t="s">
        <v>102</v>
      </c>
      <c r="D40" s="105"/>
      <c r="E40" s="3"/>
      <c r="F40" s="48"/>
      <c r="G40" s="35"/>
    </row>
    <row r="41" spans="2:7" ht="15.75" thickBot="1">
      <c r="C41" s="11" t="s">
        <v>103</v>
      </c>
      <c r="D41" s="103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07"/>
      <c r="E42" s="17"/>
      <c r="F42" s="33"/>
      <c r="G42" s="37"/>
    </row>
    <row r="43" spans="2:7">
      <c r="C43" s="7" t="s">
        <v>62</v>
      </c>
      <c r="D43" s="104"/>
      <c r="E43" s="21">
        <f>SUM(D44:D48)</f>
        <v>0</v>
      </c>
      <c r="F43" s="49"/>
      <c r="G43" s="36">
        <f>E43/E51*100</f>
        <v>0</v>
      </c>
    </row>
    <row r="44" spans="2:7">
      <c r="C44" s="10" t="s">
        <v>104</v>
      </c>
      <c r="D44" s="105"/>
      <c r="E44" s="3"/>
      <c r="F44" s="48"/>
      <c r="G44" s="35"/>
    </row>
    <row r="45" spans="2:7">
      <c r="C45" s="10" t="s">
        <v>105</v>
      </c>
      <c r="D45" s="105"/>
      <c r="E45" s="3"/>
      <c r="F45" s="48"/>
      <c r="G45" s="35"/>
    </row>
    <row r="46" spans="2:7">
      <c r="C46" s="10" t="s">
        <v>106</v>
      </c>
      <c r="D46" s="105"/>
      <c r="E46" s="3"/>
      <c r="F46" s="48"/>
      <c r="G46" s="35"/>
    </row>
    <row r="47" spans="2:7">
      <c r="C47" s="10" t="s">
        <v>107</v>
      </c>
      <c r="D47" s="105"/>
      <c r="E47" s="3"/>
      <c r="F47" s="48"/>
      <c r="G47" s="35"/>
    </row>
    <row r="48" spans="2:7" ht="15.75" thickBot="1">
      <c r="C48" s="11" t="s">
        <v>67</v>
      </c>
      <c r="D48" s="103"/>
      <c r="E48" s="13"/>
      <c r="F48" s="46"/>
      <c r="G48" s="34"/>
    </row>
    <row r="49" spans="3:7">
      <c r="C49" s="22" t="s">
        <v>68</v>
      </c>
      <c r="D49" s="108"/>
      <c r="E49" s="14"/>
      <c r="F49" s="47"/>
      <c r="G49" s="32"/>
    </row>
    <row r="50" spans="3:7" ht="15.75" thickBot="1">
      <c r="C50" s="24" t="s">
        <v>69</v>
      </c>
      <c r="D50" s="109"/>
      <c r="E50" s="26"/>
      <c r="F50" s="50"/>
      <c r="G50" s="38"/>
    </row>
    <row r="51" spans="3:7" ht="15.75" thickBot="1">
      <c r="C51" s="59" t="s">
        <v>71</v>
      </c>
      <c r="D51" s="110"/>
      <c r="E51" s="28">
        <f>SUM(E6:E50)</f>
        <v>614048.42000000004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F70B-DFAD-400B-8B67-AFE439D6D5CB}">
  <dimension ref="B2:G51"/>
  <sheetViews>
    <sheetView topLeftCell="A29" workbookViewId="0">
      <selection activeCell="E22" sqref="E22"/>
    </sheetView>
  </sheetViews>
  <sheetFormatPr defaultColWidth="11.42578125" defaultRowHeight="15"/>
  <cols>
    <col min="2" max="2" width="11.5703125" style="1"/>
    <col min="3" max="3" width="51.140625" customWidth="1"/>
    <col min="4" max="4" width="12.28515625" style="143" bestFit="1" customWidth="1"/>
    <col min="5" max="5" width="12.28515625" bestFit="1" customWidth="1"/>
    <col min="6" max="6" width="12.28515625" style="4" customWidth="1"/>
    <col min="7" max="7" width="11.570312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144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45"/>
      <c r="E5" s="13"/>
      <c r="F5" s="46"/>
      <c r="G5" s="34"/>
    </row>
    <row r="6" spans="2:7">
      <c r="C6" s="7" t="s">
        <v>23</v>
      </c>
      <c r="D6" s="146"/>
      <c r="E6" s="9">
        <f>SUM(D7:D9)</f>
        <v>2500</v>
      </c>
      <c r="F6" s="47"/>
      <c r="G6" s="32"/>
    </row>
    <row r="7" spans="2:7">
      <c r="C7" s="10" t="s">
        <v>24</v>
      </c>
      <c r="D7" s="147"/>
      <c r="E7" s="3"/>
      <c r="F7" s="48"/>
      <c r="G7" s="35"/>
    </row>
    <row r="8" spans="2:7">
      <c r="C8" s="10" t="s">
        <v>108</v>
      </c>
      <c r="D8" s="147">
        <v>2500</v>
      </c>
      <c r="E8" s="3"/>
      <c r="F8" s="48"/>
      <c r="G8" s="35"/>
    </row>
    <row r="9" spans="2:7" ht="15.75" thickBot="1">
      <c r="C9" s="11" t="s">
        <v>109</v>
      </c>
      <c r="D9" s="145"/>
      <c r="E9" s="13"/>
      <c r="F9" s="46"/>
      <c r="G9" s="34"/>
    </row>
    <row r="10" spans="2:7" ht="15.75" thickBot="1">
      <c r="C10" s="7" t="s">
        <v>27</v>
      </c>
      <c r="D10" s="146"/>
      <c r="E10" s="43">
        <f>SUM(D11:D25)</f>
        <v>480</v>
      </c>
      <c r="F10" s="54">
        <f>SUM(F11:F25)</f>
        <v>100</v>
      </c>
      <c r="G10" s="51">
        <f>(E10/E51)*100</f>
        <v>7.7328502578816946E-2</v>
      </c>
    </row>
    <row r="11" spans="2:7">
      <c r="C11" s="65" t="s">
        <v>28</v>
      </c>
      <c r="D11" s="147"/>
      <c r="E11" s="42"/>
      <c r="F11" s="55"/>
      <c r="G11" s="52"/>
    </row>
    <row r="12" spans="2:7">
      <c r="C12" s="10" t="s">
        <v>81</v>
      </c>
      <c r="D12" s="147"/>
      <c r="E12" s="42"/>
      <c r="F12" s="55"/>
      <c r="G12" s="52"/>
    </row>
    <row r="13" spans="2:7">
      <c r="C13" s="10" t="s">
        <v>110</v>
      </c>
      <c r="D13" s="147"/>
      <c r="E13" s="42"/>
      <c r="F13" s="55"/>
      <c r="G13" s="52"/>
    </row>
    <row r="14" spans="2:7">
      <c r="C14" s="10" t="s">
        <v>111</v>
      </c>
      <c r="D14" s="147"/>
      <c r="E14" s="42"/>
      <c r="F14" s="56">
        <f>D14/E10*100</f>
        <v>0</v>
      </c>
      <c r="G14" s="52"/>
    </row>
    <row r="15" spans="2:7">
      <c r="C15" s="10" t="s">
        <v>84</v>
      </c>
      <c r="D15" s="147"/>
      <c r="E15" s="42"/>
      <c r="F15" s="55"/>
      <c r="G15" s="52"/>
    </row>
    <row r="16" spans="2:7">
      <c r="C16" s="10" t="s">
        <v>33</v>
      </c>
      <c r="D16" s="147"/>
      <c r="E16" s="42"/>
      <c r="F16" s="55"/>
      <c r="G16" s="52"/>
    </row>
    <row r="17" spans="3:7">
      <c r="C17" s="10" t="s">
        <v>85</v>
      </c>
      <c r="D17" s="147"/>
      <c r="E17" s="42"/>
      <c r="F17" s="55"/>
      <c r="G17" s="52"/>
    </row>
    <row r="18" spans="3:7">
      <c r="C18" s="10" t="s">
        <v>86</v>
      </c>
      <c r="D18" s="147"/>
      <c r="E18" s="42"/>
      <c r="F18" s="56">
        <f>D18/E10*100</f>
        <v>0</v>
      </c>
      <c r="G18" s="52"/>
    </row>
    <row r="19" spans="3:7">
      <c r="C19" s="10" t="s">
        <v>112</v>
      </c>
      <c r="D19" s="147">
        <v>480</v>
      </c>
      <c r="E19" s="42"/>
      <c r="F19" s="56">
        <f>D19/E10*100</f>
        <v>100</v>
      </c>
      <c r="G19" s="52"/>
    </row>
    <row r="20" spans="3:7">
      <c r="C20" s="10" t="s">
        <v>37</v>
      </c>
      <c r="D20" s="147"/>
      <c r="E20" s="42"/>
      <c r="F20" s="55"/>
      <c r="G20" s="52"/>
    </row>
    <row r="21" spans="3:7">
      <c r="C21" s="10" t="s">
        <v>88</v>
      </c>
      <c r="D21" s="147"/>
      <c r="E21" s="42"/>
      <c r="F21" s="55"/>
      <c r="G21" s="52"/>
    </row>
    <row r="22" spans="3:7">
      <c r="C22" s="10" t="s">
        <v>89</v>
      </c>
      <c r="D22" s="147"/>
      <c r="E22" s="42"/>
      <c r="F22" s="56">
        <f>D22/E10*100</f>
        <v>0</v>
      </c>
      <c r="G22" s="52"/>
    </row>
    <row r="23" spans="3:7">
      <c r="C23" s="10" t="s">
        <v>90</v>
      </c>
      <c r="D23" s="147"/>
      <c r="E23" s="42"/>
      <c r="F23" s="55"/>
      <c r="G23" s="52"/>
    </row>
    <row r="24" spans="3:7">
      <c r="C24" s="10" t="s">
        <v>91</v>
      </c>
      <c r="D24" s="147"/>
      <c r="E24" s="42"/>
      <c r="F24" s="55"/>
      <c r="G24" s="52"/>
    </row>
    <row r="25" spans="3:7" ht="15.75" thickBot="1">
      <c r="C25" s="11" t="s">
        <v>92</v>
      </c>
      <c r="D25" s="145"/>
      <c r="E25" s="41"/>
      <c r="F25" s="57"/>
      <c r="G25" s="53"/>
    </row>
    <row r="26" spans="3:7">
      <c r="C26" s="7" t="s">
        <v>43</v>
      </c>
      <c r="D26" s="146"/>
      <c r="E26" s="9">
        <f>SUM(D27:D32)</f>
        <v>10500</v>
      </c>
      <c r="F26" s="58">
        <f>SUM(F27:F32)</f>
        <v>100</v>
      </c>
      <c r="G26" s="36">
        <f>(E26/E51)*100</f>
        <v>1.6915609939116207</v>
      </c>
    </row>
    <row r="27" spans="3:7">
      <c r="C27" s="10" t="s">
        <v>44</v>
      </c>
      <c r="D27" s="147"/>
      <c r="E27" s="3"/>
      <c r="F27" s="48"/>
      <c r="G27" s="35"/>
    </row>
    <row r="28" spans="3:7">
      <c r="C28" s="10" t="s">
        <v>113</v>
      </c>
      <c r="D28" s="147">
        <v>9000</v>
      </c>
      <c r="E28" s="3"/>
      <c r="F28" s="48">
        <f>D28/E26*100</f>
        <v>85.714285714285708</v>
      </c>
      <c r="G28" s="35"/>
    </row>
    <row r="29" spans="3:7">
      <c r="C29" s="10" t="s">
        <v>114</v>
      </c>
      <c r="D29" s="147">
        <v>1500</v>
      </c>
      <c r="E29" s="3"/>
      <c r="F29" s="48">
        <f>D29/E26*100</f>
        <v>14.285714285714285</v>
      </c>
      <c r="G29" s="35"/>
    </row>
    <row r="30" spans="3:7">
      <c r="C30" s="10" t="s">
        <v>95</v>
      </c>
      <c r="D30" s="147"/>
      <c r="E30" s="3"/>
      <c r="F30" s="48"/>
      <c r="G30" s="35"/>
    </row>
    <row r="31" spans="3:7">
      <c r="C31" s="10" t="s">
        <v>115</v>
      </c>
      <c r="D31" s="147"/>
      <c r="E31" s="3"/>
      <c r="F31" s="48"/>
      <c r="G31" s="35"/>
    </row>
    <row r="32" spans="3:7" ht="15.75" thickBot="1">
      <c r="C32" s="11" t="s">
        <v>116</v>
      </c>
      <c r="D32" s="145"/>
      <c r="E32" s="13"/>
      <c r="F32" s="46"/>
      <c r="G32" s="34"/>
    </row>
    <row r="33" spans="2:7">
      <c r="C33" s="7" t="s">
        <v>50</v>
      </c>
      <c r="D33" s="146"/>
      <c r="E33" s="14"/>
      <c r="F33" s="47"/>
      <c r="G33" s="32"/>
    </row>
    <row r="34" spans="2:7">
      <c r="C34" s="10" t="s">
        <v>98</v>
      </c>
      <c r="D34" s="147"/>
      <c r="E34" s="3"/>
      <c r="F34" s="48"/>
      <c r="G34" s="35"/>
    </row>
    <row r="35" spans="2:7" ht="15.75" thickBot="1">
      <c r="C35" s="11" t="s">
        <v>99</v>
      </c>
      <c r="D35" s="145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48"/>
      <c r="E36" s="17"/>
      <c r="F36" s="33"/>
      <c r="G36" s="37"/>
    </row>
    <row r="37" spans="2:7">
      <c r="C37" s="7" t="s">
        <v>55</v>
      </c>
      <c r="D37" s="146"/>
      <c r="E37" s="9">
        <f>SUM(D38:D41)</f>
        <v>607248.43000000005</v>
      </c>
      <c r="F37" s="45"/>
      <c r="G37" s="36">
        <f>E37/E51*100</f>
        <v>97.828357885911558</v>
      </c>
    </row>
    <row r="38" spans="2:7">
      <c r="C38" s="10" t="s">
        <v>100</v>
      </c>
      <c r="D38" s="147">
        <v>456017.51</v>
      </c>
      <c r="E38" s="3"/>
      <c r="F38" s="48"/>
      <c r="G38" s="35"/>
    </row>
    <row r="39" spans="2:7">
      <c r="C39" s="10" t="s">
        <v>101</v>
      </c>
      <c r="D39" s="143">
        <v>151230.92000000001</v>
      </c>
      <c r="E39" s="3"/>
      <c r="F39" s="48"/>
      <c r="G39" s="35"/>
    </row>
    <row r="40" spans="2:7">
      <c r="C40" s="10" t="s">
        <v>102</v>
      </c>
      <c r="D40" s="147"/>
      <c r="E40" s="3"/>
      <c r="F40" s="48"/>
      <c r="G40" s="35"/>
    </row>
    <row r="41" spans="2:7" ht="15.75" thickBot="1">
      <c r="C41" s="11" t="s">
        <v>103</v>
      </c>
      <c r="D41" s="145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49"/>
      <c r="E42" s="17"/>
      <c r="F42" s="33"/>
      <c r="G42" s="37"/>
    </row>
    <row r="43" spans="2:7">
      <c r="C43" s="7" t="s">
        <v>62</v>
      </c>
      <c r="D43" s="146"/>
      <c r="E43" s="21">
        <f>SUM(D44:D48)</f>
        <v>0</v>
      </c>
      <c r="F43" s="49"/>
      <c r="G43" s="36">
        <f>E43/E51*100</f>
        <v>0</v>
      </c>
    </row>
    <row r="44" spans="2:7">
      <c r="C44" s="10" t="s">
        <v>104</v>
      </c>
      <c r="D44" s="147"/>
      <c r="E44" s="3"/>
      <c r="F44" s="48"/>
      <c r="G44" s="35"/>
    </row>
    <row r="45" spans="2:7">
      <c r="C45" s="10" t="s">
        <v>105</v>
      </c>
      <c r="D45" s="147"/>
      <c r="E45" s="3"/>
      <c r="F45" s="48"/>
      <c r="G45" s="35"/>
    </row>
    <row r="46" spans="2:7">
      <c r="C46" s="10" t="s">
        <v>106</v>
      </c>
      <c r="D46" s="147"/>
      <c r="E46" s="3"/>
      <c r="F46" s="48"/>
      <c r="G46" s="35"/>
    </row>
    <row r="47" spans="2:7">
      <c r="C47" s="10" t="s">
        <v>107</v>
      </c>
      <c r="D47" s="147"/>
      <c r="E47" s="3"/>
      <c r="F47" s="48"/>
      <c r="G47" s="35"/>
    </row>
    <row r="48" spans="2:7" ht="15.75" thickBot="1">
      <c r="C48" s="11" t="s">
        <v>67</v>
      </c>
      <c r="D48" s="145"/>
      <c r="E48" s="13"/>
      <c r="F48" s="46"/>
      <c r="G48" s="34"/>
    </row>
    <row r="49" spans="3:7">
      <c r="C49" s="22" t="s">
        <v>68</v>
      </c>
      <c r="D49" s="150"/>
      <c r="E49" s="14"/>
      <c r="F49" s="47"/>
      <c r="G49" s="32"/>
    </row>
    <row r="50" spans="3:7" ht="15.75" thickBot="1">
      <c r="C50" s="24" t="s">
        <v>117</v>
      </c>
      <c r="D50" s="151"/>
      <c r="E50" s="26"/>
      <c r="F50" s="50"/>
      <c r="G50" s="38"/>
    </row>
    <row r="51" spans="3:7" ht="15.75" thickBot="1">
      <c r="C51" s="59" t="s">
        <v>71</v>
      </c>
      <c r="D51" s="152"/>
      <c r="E51" s="28">
        <f>SUM(E6:E50)</f>
        <v>620728.43000000005</v>
      </c>
      <c r="F51" s="44"/>
      <c r="G51" s="39">
        <f>SUM(G6:G50)</f>
        <v>99.597247382401989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41D6-5F65-44A3-8BF3-FFE13D6FC386}">
  <dimension ref="B2:G51"/>
  <sheetViews>
    <sheetView topLeftCell="A39" workbookViewId="0">
      <selection activeCell="D5" sqref="D5:D51"/>
    </sheetView>
  </sheetViews>
  <sheetFormatPr defaultColWidth="11.42578125" defaultRowHeight="15"/>
  <cols>
    <col min="2" max="2" width="11.5703125" style="1"/>
    <col min="3" max="3" width="51.140625" customWidth="1"/>
    <col min="4" max="4" width="12.28515625" style="143" bestFit="1" customWidth="1"/>
    <col min="5" max="5" width="12.28515625" bestFit="1" customWidth="1"/>
    <col min="6" max="6" width="12.28515625" style="4" customWidth="1"/>
    <col min="7" max="7" width="11.570312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144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45"/>
      <c r="E5" s="13"/>
      <c r="F5" s="46"/>
      <c r="G5" s="34"/>
    </row>
    <row r="6" spans="2:7">
      <c r="C6" s="7" t="s">
        <v>23</v>
      </c>
      <c r="D6" s="146"/>
      <c r="E6" s="9">
        <f>SUM(D7:D9)</f>
        <v>0</v>
      </c>
      <c r="F6" s="47"/>
      <c r="G6" s="32"/>
    </row>
    <row r="7" spans="2:7">
      <c r="C7" s="10" t="s">
        <v>24</v>
      </c>
      <c r="D7" s="147"/>
      <c r="E7" s="3"/>
      <c r="F7" s="48"/>
      <c r="G7" s="35"/>
    </row>
    <row r="8" spans="2:7">
      <c r="C8" s="10" t="s">
        <v>108</v>
      </c>
      <c r="D8" s="147"/>
      <c r="E8" s="3"/>
      <c r="F8" s="48"/>
      <c r="G8" s="35"/>
    </row>
    <row r="9" spans="2:7" ht="15.75" thickBot="1">
      <c r="C9" s="11" t="s">
        <v>109</v>
      </c>
      <c r="D9" s="145"/>
      <c r="E9" s="13"/>
      <c r="F9" s="46"/>
      <c r="G9" s="34"/>
    </row>
    <row r="10" spans="2:7" ht="15.75" thickBot="1">
      <c r="C10" s="7" t="s">
        <v>27</v>
      </c>
      <c r="D10" s="146"/>
      <c r="E10" s="43">
        <f>SUM(D11:D25)</f>
        <v>3300</v>
      </c>
      <c r="F10" s="54">
        <f>SUM(F11:F25)</f>
        <v>72.72727272727272</v>
      </c>
      <c r="G10" s="51">
        <f>(E10/E51)*100</f>
        <v>0.53741689397365611</v>
      </c>
    </row>
    <row r="11" spans="2:7">
      <c r="C11" s="65" t="s">
        <v>28</v>
      </c>
      <c r="D11" s="147"/>
      <c r="E11" s="42"/>
      <c r="F11" s="55"/>
      <c r="G11" s="52"/>
    </row>
    <row r="12" spans="2:7">
      <c r="C12" s="10" t="s">
        <v>81</v>
      </c>
      <c r="D12" s="147">
        <v>900</v>
      </c>
      <c r="E12" s="42"/>
      <c r="F12" s="55"/>
      <c r="G12" s="52"/>
    </row>
    <row r="13" spans="2:7">
      <c r="C13" s="10" t="s">
        <v>110</v>
      </c>
      <c r="D13" s="147"/>
      <c r="E13" s="42"/>
      <c r="F13" s="55"/>
      <c r="G13" s="52"/>
    </row>
    <row r="14" spans="2:7">
      <c r="C14" s="10" t="s">
        <v>111</v>
      </c>
      <c r="D14" s="147">
        <v>480</v>
      </c>
      <c r="E14" s="42"/>
      <c r="F14" s="56">
        <f>D14/E10*100</f>
        <v>14.545454545454545</v>
      </c>
      <c r="G14" s="52"/>
    </row>
    <row r="15" spans="2:7">
      <c r="C15" s="10" t="s">
        <v>84</v>
      </c>
      <c r="D15" s="147"/>
      <c r="E15" s="42"/>
      <c r="F15" s="55"/>
      <c r="G15" s="52"/>
    </row>
    <row r="16" spans="2:7">
      <c r="C16" s="10" t="s">
        <v>33</v>
      </c>
      <c r="D16" s="147"/>
      <c r="E16" s="42"/>
      <c r="F16" s="55"/>
      <c r="G16" s="52"/>
    </row>
    <row r="17" spans="3:7">
      <c r="C17" s="10" t="s">
        <v>85</v>
      </c>
      <c r="D17" s="147"/>
      <c r="E17" s="42"/>
      <c r="F17" s="55"/>
      <c r="G17" s="52"/>
    </row>
    <row r="18" spans="3:7">
      <c r="C18" s="10" t="s">
        <v>86</v>
      </c>
      <c r="D18" s="147">
        <v>480</v>
      </c>
      <c r="E18" s="42"/>
      <c r="F18" s="56">
        <f>D18/E10*100</f>
        <v>14.545454545454545</v>
      </c>
      <c r="G18" s="52"/>
    </row>
    <row r="19" spans="3:7">
      <c r="C19" s="10" t="s">
        <v>112</v>
      </c>
      <c r="D19" s="147">
        <v>1440</v>
      </c>
      <c r="E19" s="42"/>
      <c r="F19" s="56">
        <f>D19/E10*100</f>
        <v>43.636363636363633</v>
      </c>
      <c r="G19" s="52"/>
    </row>
    <row r="20" spans="3:7">
      <c r="C20" s="10" t="s">
        <v>37</v>
      </c>
      <c r="D20" s="147"/>
      <c r="E20" s="42"/>
      <c r="F20" s="55"/>
      <c r="G20" s="52"/>
    </row>
    <row r="21" spans="3:7">
      <c r="C21" s="10" t="s">
        <v>88</v>
      </c>
      <c r="D21" s="147"/>
      <c r="E21" s="42"/>
      <c r="F21" s="55"/>
      <c r="G21" s="52"/>
    </row>
    <row r="22" spans="3:7">
      <c r="C22" s="10" t="s">
        <v>89</v>
      </c>
      <c r="D22" s="147"/>
      <c r="E22" s="42"/>
      <c r="F22" s="56">
        <f>D22/E10*100</f>
        <v>0</v>
      </c>
      <c r="G22" s="52"/>
    </row>
    <row r="23" spans="3:7">
      <c r="C23" s="10" t="s">
        <v>90</v>
      </c>
      <c r="D23" s="147"/>
      <c r="E23" s="42"/>
      <c r="F23" s="55"/>
      <c r="G23" s="52"/>
    </row>
    <row r="24" spans="3:7">
      <c r="C24" s="10" t="s">
        <v>91</v>
      </c>
      <c r="D24" s="147"/>
      <c r="E24" s="42"/>
      <c r="F24" s="55"/>
      <c r="G24" s="52"/>
    </row>
    <row r="25" spans="3:7" ht="15.75" thickBot="1">
      <c r="C25" s="11" t="s">
        <v>92</v>
      </c>
      <c r="D25" s="145"/>
      <c r="E25" s="41"/>
      <c r="F25" s="57"/>
      <c r="G25" s="53"/>
    </row>
    <row r="26" spans="3:7">
      <c r="C26" s="7" t="s">
        <v>43</v>
      </c>
      <c r="D26" s="146"/>
      <c r="E26" s="9">
        <f>SUM(D27:D32)</f>
        <v>3500</v>
      </c>
      <c r="F26" s="58">
        <f>SUM(F27:F32)</f>
        <v>100</v>
      </c>
      <c r="G26" s="36">
        <f>(E26/E51)*100</f>
        <v>0.56998761482054427</v>
      </c>
    </row>
    <row r="27" spans="3:7">
      <c r="C27" s="10" t="s">
        <v>44</v>
      </c>
      <c r="D27" s="147"/>
      <c r="E27" s="3"/>
      <c r="F27" s="48"/>
      <c r="G27" s="35"/>
    </row>
    <row r="28" spans="3:7">
      <c r="C28" s="10" t="s">
        <v>113</v>
      </c>
      <c r="D28" s="147">
        <v>3500</v>
      </c>
      <c r="E28" s="3"/>
      <c r="F28" s="48">
        <f>D28/E26*100</f>
        <v>100</v>
      </c>
      <c r="G28" s="35"/>
    </row>
    <row r="29" spans="3:7">
      <c r="C29" s="10" t="s">
        <v>114</v>
      </c>
      <c r="D29" s="147"/>
      <c r="E29" s="3"/>
      <c r="F29" s="48">
        <f>D29/E26*100</f>
        <v>0</v>
      </c>
      <c r="G29" s="35"/>
    </row>
    <row r="30" spans="3:7">
      <c r="C30" s="10" t="s">
        <v>95</v>
      </c>
      <c r="D30" s="147"/>
      <c r="E30" s="3"/>
      <c r="F30" s="48"/>
      <c r="G30" s="35"/>
    </row>
    <row r="31" spans="3:7">
      <c r="C31" s="10" t="s">
        <v>115</v>
      </c>
      <c r="D31" s="147"/>
      <c r="E31" s="3"/>
      <c r="F31" s="48"/>
      <c r="G31" s="35"/>
    </row>
    <row r="32" spans="3:7" ht="15.75" thickBot="1">
      <c r="C32" s="11" t="s">
        <v>116</v>
      </c>
      <c r="D32" s="145"/>
      <c r="E32" s="13"/>
      <c r="F32" s="46"/>
      <c r="G32" s="34"/>
    </row>
    <row r="33" spans="2:7">
      <c r="C33" s="7" t="s">
        <v>50</v>
      </c>
      <c r="D33" s="146"/>
      <c r="E33" s="14"/>
      <c r="F33" s="47"/>
      <c r="G33" s="32"/>
    </row>
    <row r="34" spans="2:7">
      <c r="C34" s="10" t="s">
        <v>98</v>
      </c>
      <c r="D34" s="147"/>
      <c r="E34" s="3"/>
      <c r="F34" s="48"/>
      <c r="G34" s="35"/>
    </row>
    <row r="35" spans="2:7" ht="15.75" thickBot="1">
      <c r="C35" s="11" t="s">
        <v>99</v>
      </c>
      <c r="D35" s="145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48"/>
      <c r="E36" s="17"/>
      <c r="F36" s="33"/>
      <c r="G36" s="37"/>
    </row>
    <row r="37" spans="2:7">
      <c r="C37" s="7" t="s">
        <v>55</v>
      </c>
      <c r="D37" s="146"/>
      <c r="E37" s="9">
        <f>SUM(D38:D41)</f>
        <v>607248.43000000005</v>
      </c>
      <c r="F37" s="45"/>
      <c r="G37" s="36">
        <f>E37/E51*100</f>
        <v>98.89259549120581</v>
      </c>
    </row>
    <row r="38" spans="2:7">
      <c r="C38" s="10" t="s">
        <v>100</v>
      </c>
      <c r="D38" s="147">
        <v>456017.51</v>
      </c>
      <c r="E38" s="3"/>
      <c r="F38" s="48"/>
      <c r="G38" s="35"/>
    </row>
    <row r="39" spans="2:7">
      <c r="C39" s="10" t="s">
        <v>101</v>
      </c>
      <c r="D39" s="143">
        <v>151230.92000000001</v>
      </c>
      <c r="E39" s="3"/>
      <c r="F39" s="48"/>
      <c r="G39" s="35"/>
    </row>
    <row r="40" spans="2:7">
      <c r="C40" s="10" t="s">
        <v>102</v>
      </c>
      <c r="D40" s="147"/>
      <c r="E40" s="3"/>
      <c r="F40" s="48"/>
      <c r="G40" s="35"/>
    </row>
    <row r="41" spans="2:7" ht="15.75" thickBot="1">
      <c r="C41" s="11" t="s">
        <v>103</v>
      </c>
      <c r="D41" s="145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49"/>
      <c r="E42" s="17"/>
      <c r="F42" s="33"/>
      <c r="G42" s="37"/>
    </row>
    <row r="43" spans="2:7">
      <c r="C43" s="7" t="s">
        <v>62</v>
      </c>
      <c r="D43" s="146"/>
      <c r="E43" s="21">
        <f>SUM(D44:D48)</f>
        <v>0</v>
      </c>
      <c r="F43" s="49"/>
      <c r="G43" s="36">
        <f>E43/E51*100</f>
        <v>0</v>
      </c>
    </row>
    <row r="44" spans="2:7">
      <c r="C44" s="10" t="s">
        <v>104</v>
      </c>
      <c r="D44" s="147"/>
      <c r="E44" s="3"/>
      <c r="F44" s="48"/>
      <c r="G44" s="35"/>
    </row>
    <row r="45" spans="2:7">
      <c r="C45" s="10" t="s">
        <v>105</v>
      </c>
      <c r="D45" s="147"/>
      <c r="E45" s="3"/>
      <c r="F45" s="48"/>
      <c r="G45" s="35"/>
    </row>
    <row r="46" spans="2:7">
      <c r="C46" s="10" t="s">
        <v>106</v>
      </c>
      <c r="D46" s="147"/>
      <c r="E46" s="3"/>
      <c r="F46" s="48"/>
      <c r="G46" s="35"/>
    </row>
    <row r="47" spans="2:7">
      <c r="C47" s="10" t="s">
        <v>107</v>
      </c>
      <c r="D47" s="147"/>
      <c r="E47" s="3"/>
      <c r="F47" s="48"/>
      <c r="G47" s="35"/>
    </row>
    <row r="48" spans="2:7" ht="15.75" thickBot="1">
      <c r="C48" s="11" t="s">
        <v>67</v>
      </c>
      <c r="D48" s="145"/>
      <c r="E48" s="13"/>
      <c r="F48" s="46"/>
      <c r="G48" s="34"/>
    </row>
    <row r="49" spans="3:7">
      <c r="C49" s="22" t="s">
        <v>68</v>
      </c>
      <c r="D49" s="150"/>
      <c r="E49" s="14"/>
      <c r="F49" s="47"/>
      <c r="G49" s="32"/>
    </row>
    <row r="50" spans="3:7" ht="15.75" thickBot="1">
      <c r="C50" s="24" t="s">
        <v>117</v>
      </c>
      <c r="D50" s="151"/>
      <c r="E50" s="26"/>
      <c r="F50" s="50"/>
      <c r="G50" s="38"/>
    </row>
    <row r="51" spans="3:7" ht="15.75" thickBot="1">
      <c r="C51" s="59" t="s">
        <v>71</v>
      </c>
      <c r="D51" s="152"/>
      <c r="E51" s="28">
        <f>SUM(E6:E50)</f>
        <v>614048.43000000005</v>
      </c>
      <c r="F51" s="44"/>
      <c r="G51" s="39">
        <f>SUM(G6:G50)</f>
        <v>100.00000000000001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1002-9474-468C-8D91-937112648F3C}">
  <dimension ref="B2:G51"/>
  <sheetViews>
    <sheetView topLeftCell="A43" workbookViewId="0">
      <selection activeCell="J15" sqref="J15"/>
    </sheetView>
  </sheetViews>
  <sheetFormatPr defaultColWidth="11.42578125" defaultRowHeight="15"/>
  <cols>
    <col min="2" max="2" width="11.5703125" style="1"/>
    <col min="3" max="3" width="51.140625" customWidth="1"/>
    <col min="4" max="4" width="12.28515625" style="133" bestFit="1" customWidth="1"/>
    <col min="5" max="5" width="12.28515625" bestFit="1" customWidth="1"/>
    <col min="6" max="6" width="12.28515625" style="4" customWidth="1"/>
    <col min="7" max="7" width="11.5703125" style="29"/>
  </cols>
  <sheetData>
    <row r="2" spans="2:7">
      <c r="C2" s="29" t="s">
        <v>0</v>
      </c>
      <c r="D2" s="132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134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35"/>
      <c r="E5" s="13"/>
      <c r="F5" s="46"/>
      <c r="G5" s="34"/>
    </row>
    <row r="6" spans="2:7">
      <c r="C6" s="7" t="s">
        <v>23</v>
      </c>
      <c r="D6" s="136"/>
      <c r="E6" s="9">
        <f>SUM(D7:D9)</f>
        <v>0</v>
      </c>
      <c r="F6" s="47"/>
      <c r="G6" s="32"/>
    </row>
    <row r="7" spans="2:7">
      <c r="C7" s="10" t="s">
        <v>24</v>
      </c>
      <c r="D7" s="137"/>
      <c r="E7" s="3"/>
      <c r="F7" s="48"/>
      <c r="G7" s="35"/>
    </row>
    <row r="8" spans="2:7">
      <c r="C8" s="10" t="s">
        <v>108</v>
      </c>
      <c r="D8" s="137"/>
      <c r="E8" s="3"/>
      <c r="F8" s="48"/>
      <c r="G8" s="35"/>
    </row>
    <row r="9" spans="2:7" ht="15.75" thickBot="1">
      <c r="C9" s="11" t="s">
        <v>109</v>
      </c>
      <c r="D9" s="135"/>
      <c r="E9" s="13"/>
      <c r="F9" s="46"/>
      <c r="G9" s="34"/>
    </row>
    <row r="10" spans="2:7" ht="15.75" thickBot="1">
      <c r="C10" s="7" t="s">
        <v>27</v>
      </c>
      <c r="D10" s="136"/>
      <c r="E10" s="43">
        <f>SUM(D11:D25)</f>
        <v>10835</v>
      </c>
      <c r="F10" s="54">
        <f>SUM(F11:F25)</f>
        <v>8.8601753576372868</v>
      </c>
      <c r="G10" s="51">
        <f>(E10/E51)*100</f>
        <v>1.74453213153666</v>
      </c>
    </row>
    <row r="11" spans="2:7">
      <c r="C11" s="65" t="s">
        <v>28</v>
      </c>
      <c r="D11" s="137"/>
      <c r="E11" s="42"/>
      <c r="F11" s="55"/>
      <c r="G11" s="52"/>
    </row>
    <row r="12" spans="2:7">
      <c r="C12" s="10" t="s">
        <v>81</v>
      </c>
      <c r="D12" s="137">
        <v>9875</v>
      </c>
      <c r="E12" s="42"/>
      <c r="F12" s="55"/>
      <c r="G12" s="52"/>
    </row>
    <row r="13" spans="2:7">
      <c r="C13" s="10" t="s">
        <v>110</v>
      </c>
      <c r="D13" s="137"/>
      <c r="E13" s="42"/>
      <c r="F13" s="55"/>
      <c r="G13" s="52"/>
    </row>
    <row r="14" spans="2:7">
      <c r="C14" s="10" t="s">
        <v>111</v>
      </c>
      <c r="D14" s="137"/>
      <c r="E14" s="42"/>
      <c r="F14" s="56">
        <f>D14/E10*100</f>
        <v>0</v>
      </c>
      <c r="G14" s="52"/>
    </row>
    <row r="15" spans="2:7">
      <c r="C15" s="10" t="s">
        <v>84</v>
      </c>
      <c r="D15" s="137"/>
      <c r="E15" s="42"/>
      <c r="F15" s="55"/>
      <c r="G15" s="52"/>
    </row>
    <row r="16" spans="2:7">
      <c r="C16" s="10" t="s">
        <v>33</v>
      </c>
      <c r="D16" s="137"/>
      <c r="E16" s="42"/>
      <c r="F16" s="55"/>
      <c r="G16" s="52"/>
    </row>
    <row r="17" spans="3:7">
      <c r="C17" s="10" t="s">
        <v>85</v>
      </c>
      <c r="D17" s="137"/>
      <c r="E17" s="42"/>
      <c r="F17" s="55"/>
      <c r="G17" s="52"/>
    </row>
    <row r="18" spans="3:7">
      <c r="C18" s="10" t="s">
        <v>86</v>
      </c>
      <c r="D18" s="137"/>
      <c r="E18" s="42"/>
      <c r="F18" s="56">
        <f>D18/E10*100</f>
        <v>0</v>
      </c>
      <c r="G18" s="52"/>
    </row>
    <row r="19" spans="3:7">
      <c r="C19" s="10" t="s">
        <v>112</v>
      </c>
      <c r="D19" s="137">
        <v>960</v>
      </c>
      <c r="E19" s="42"/>
      <c r="F19" s="56">
        <f>D19/E10*100</f>
        <v>8.8601753576372868</v>
      </c>
      <c r="G19" s="52"/>
    </row>
    <row r="20" spans="3:7">
      <c r="C20" s="10" t="s">
        <v>37</v>
      </c>
      <c r="D20" s="137"/>
      <c r="E20" s="42"/>
      <c r="F20" s="55"/>
      <c r="G20" s="52"/>
    </row>
    <row r="21" spans="3:7">
      <c r="C21" s="10" t="s">
        <v>88</v>
      </c>
      <c r="D21" s="137"/>
      <c r="E21" s="42"/>
      <c r="F21" s="55"/>
      <c r="G21" s="52"/>
    </row>
    <row r="22" spans="3:7">
      <c r="C22" s="10" t="s">
        <v>89</v>
      </c>
      <c r="D22" s="137"/>
      <c r="E22" s="42"/>
      <c r="F22" s="56">
        <f>D22/E10*100</f>
        <v>0</v>
      </c>
      <c r="G22" s="52"/>
    </row>
    <row r="23" spans="3:7">
      <c r="C23" s="10" t="s">
        <v>90</v>
      </c>
      <c r="D23" s="137"/>
      <c r="E23" s="42"/>
      <c r="F23" s="55"/>
      <c r="G23" s="52"/>
    </row>
    <row r="24" spans="3:7">
      <c r="C24" s="10" t="s">
        <v>91</v>
      </c>
      <c r="D24" s="137"/>
      <c r="E24" s="42"/>
      <c r="F24" s="55"/>
      <c r="G24" s="52"/>
    </row>
    <row r="25" spans="3:7" ht="15.75" thickBot="1">
      <c r="C25" s="11" t="s">
        <v>92</v>
      </c>
      <c r="D25" s="135"/>
      <c r="E25" s="41"/>
      <c r="F25" s="57"/>
      <c r="G25" s="53"/>
    </row>
    <row r="26" spans="3:7">
      <c r="C26" s="7" t="s">
        <v>43</v>
      </c>
      <c r="D26" s="136"/>
      <c r="E26" s="9">
        <f>SUM(D27:D32)</f>
        <v>3000</v>
      </c>
      <c r="F26" s="58">
        <f>SUM(F27:F32)</f>
        <v>100</v>
      </c>
      <c r="G26" s="36">
        <f>(E26/E51)*100</f>
        <v>0.48302689382648639</v>
      </c>
    </row>
    <row r="27" spans="3:7">
      <c r="C27" s="10" t="s">
        <v>44</v>
      </c>
      <c r="D27" s="137"/>
      <c r="E27" s="3"/>
      <c r="F27" s="48"/>
      <c r="G27" s="35"/>
    </row>
    <row r="28" spans="3:7">
      <c r="C28" s="10" t="s">
        <v>113</v>
      </c>
      <c r="D28" s="137"/>
      <c r="E28" s="3"/>
      <c r="F28" s="48">
        <f>D28/E26*100</f>
        <v>0</v>
      </c>
      <c r="G28" s="35"/>
    </row>
    <row r="29" spans="3:7">
      <c r="C29" s="10" t="s">
        <v>114</v>
      </c>
      <c r="D29" s="137">
        <v>3000</v>
      </c>
      <c r="E29" s="3"/>
      <c r="F29" s="48">
        <f>D29/E26*100</f>
        <v>100</v>
      </c>
      <c r="G29" s="35"/>
    </row>
    <row r="30" spans="3:7">
      <c r="C30" s="10" t="s">
        <v>95</v>
      </c>
      <c r="D30" s="137"/>
      <c r="E30" s="3"/>
      <c r="F30" s="48"/>
      <c r="G30" s="35"/>
    </row>
    <row r="31" spans="3:7">
      <c r="C31" s="10" t="s">
        <v>115</v>
      </c>
      <c r="D31" s="137"/>
      <c r="E31" s="3"/>
      <c r="F31" s="48"/>
      <c r="G31" s="35"/>
    </row>
    <row r="32" spans="3:7" ht="15.75" thickBot="1">
      <c r="C32" s="11" t="s">
        <v>116</v>
      </c>
      <c r="D32" s="135"/>
      <c r="E32" s="13"/>
      <c r="F32" s="46"/>
      <c r="G32" s="34"/>
    </row>
    <row r="33" spans="2:7">
      <c r="C33" s="7" t="s">
        <v>50</v>
      </c>
      <c r="D33" s="136"/>
      <c r="E33" s="14"/>
      <c r="F33" s="47"/>
      <c r="G33" s="32"/>
    </row>
    <row r="34" spans="2:7">
      <c r="C34" s="10" t="s">
        <v>98</v>
      </c>
      <c r="D34" s="137"/>
      <c r="E34" s="3"/>
      <c r="F34" s="48"/>
      <c r="G34" s="35"/>
    </row>
    <row r="35" spans="2:7" ht="15.75" thickBot="1">
      <c r="C35" s="11" t="s">
        <v>99</v>
      </c>
      <c r="D35" s="135"/>
      <c r="E35" s="13"/>
      <c r="F35" s="46"/>
      <c r="G35" s="34"/>
    </row>
    <row r="36" spans="2:7" ht="15.75" thickBot="1">
      <c r="B36" s="2" t="s">
        <v>53</v>
      </c>
      <c r="C36" s="15" t="s">
        <v>54</v>
      </c>
      <c r="D36" s="138"/>
      <c r="E36" s="17"/>
      <c r="F36" s="33"/>
      <c r="G36" s="37"/>
    </row>
    <row r="37" spans="2:7">
      <c r="C37" s="7" t="s">
        <v>55</v>
      </c>
      <c r="D37" s="136"/>
      <c r="E37" s="9">
        <f>SUM(D38:D41)</f>
        <v>607248.43000000005</v>
      </c>
      <c r="F37" s="45"/>
      <c r="G37" s="36">
        <f>E37/E51*100</f>
        <v>97.772440974636851</v>
      </c>
    </row>
    <row r="38" spans="2:7">
      <c r="C38" s="10" t="s">
        <v>100</v>
      </c>
      <c r="D38" s="137">
        <v>456017.51</v>
      </c>
      <c r="E38" s="3"/>
      <c r="F38" s="48"/>
      <c r="G38" s="35"/>
    </row>
    <row r="39" spans="2:7">
      <c r="C39" s="10" t="s">
        <v>101</v>
      </c>
      <c r="D39" s="133">
        <v>151230.92000000001</v>
      </c>
      <c r="E39" s="3"/>
      <c r="F39" s="48"/>
      <c r="G39" s="35"/>
    </row>
    <row r="40" spans="2:7">
      <c r="C40" s="10" t="s">
        <v>102</v>
      </c>
      <c r="D40" s="137"/>
      <c r="E40" s="3"/>
      <c r="F40" s="48"/>
      <c r="G40" s="35"/>
    </row>
    <row r="41" spans="2:7" ht="15.75" thickBot="1">
      <c r="C41" s="11" t="s">
        <v>103</v>
      </c>
      <c r="D41" s="135"/>
      <c r="E41" s="13"/>
      <c r="F41" s="46"/>
      <c r="G41" s="34"/>
    </row>
    <row r="42" spans="2:7" ht="15.75" thickBot="1">
      <c r="B42" s="2" t="s">
        <v>60</v>
      </c>
      <c r="C42" s="15" t="s">
        <v>61</v>
      </c>
      <c r="D42" s="139"/>
      <c r="E42" s="17"/>
      <c r="F42" s="33"/>
      <c r="G42" s="37"/>
    </row>
    <row r="43" spans="2:7">
      <c r="C43" s="7" t="s">
        <v>62</v>
      </c>
      <c r="D43" s="136"/>
      <c r="E43" s="21">
        <f>SUM(D44:D48)</f>
        <v>0</v>
      </c>
      <c r="F43" s="49"/>
      <c r="G43" s="36">
        <f>E43/E51*100</f>
        <v>0</v>
      </c>
    </row>
    <row r="44" spans="2:7">
      <c r="C44" s="10" t="s">
        <v>104</v>
      </c>
      <c r="D44" s="137"/>
      <c r="E44" s="3"/>
      <c r="F44" s="48"/>
      <c r="G44" s="35"/>
    </row>
    <row r="45" spans="2:7">
      <c r="C45" s="10" t="s">
        <v>105</v>
      </c>
      <c r="D45" s="137"/>
      <c r="E45" s="3"/>
      <c r="F45" s="48"/>
      <c r="G45" s="35"/>
    </row>
    <row r="46" spans="2:7">
      <c r="C46" s="10" t="s">
        <v>106</v>
      </c>
      <c r="D46" s="137"/>
      <c r="E46" s="3"/>
      <c r="F46" s="48"/>
      <c r="G46" s="35"/>
    </row>
    <row r="47" spans="2:7">
      <c r="C47" s="10" t="s">
        <v>107</v>
      </c>
      <c r="D47" s="137"/>
      <c r="E47" s="3"/>
      <c r="F47" s="48"/>
      <c r="G47" s="35"/>
    </row>
    <row r="48" spans="2:7" ht="15.75" thickBot="1">
      <c r="C48" s="11" t="s">
        <v>67</v>
      </c>
      <c r="D48" s="135"/>
      <c r="E48" s="13"/>
      <c r="F48" s="46"/>
      <c r="G48" s="34"/>
    </row>
    <row r="49" spans="3:7">
      <c r="C49" s="22" t="s">
        <v>68</v>
      </c>
      <c r="D49" s="140"/>
      <c r="E49" s="14"/>
      <c r="F49" s="47"/>
      <c r="G49" s="32"/>
    </row>
    <row r="50" spans="3:7" ht="15.75" thickBot="1">
      <c r="C50" s="24" t="s">
        <v>117</v>
      </c>
      <c r="D50" s="141"/>
      <c r="E50" s="26"/>
      <c r="F50" s="50"/>
      <c r="G50" s="38"/>
    </row>
    <row r="51" spans="3:7" ht="15.75" thickBot="1">
      <c r="C51" s="59" t="s">
        <v>71</v>
      </c>
      <c r="D51" s="142"/>
      <c r="E51" s="28">
        <f>SUM(E6:E50)</f>
        <v>621083.43000000005</v>
      </c>
      <c r="F51" s="44"/>
      <c r="G51" s="39">
        <f>SUM(G6:G50)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965B-7C45-4CF1-B231-FBB4BD3A63C7}">
  <dimension ref="B2:G51"/>
  <sheetViews>
    <sheetView topLeftCell="A29" workbookViewId="0">
      <selection activeCell="I20" sqref="I20"/>
    </sheetView>
  </sheetViews>
  <sheetFormatPr defaultColWidth="11.42578125" defaultRowHeight="15"/>
  <cols>
    <col min="2" max="2" width="11.5703125" style="1"/>
    <col min="3" max="3" width="51.140625" customWidth="1"/>
    <col min="4" max="4" width="12.28515625" style="143" bestFit="1" customWidth="1"/>
    <col min="5" max="5" width="12.28515625" bestFit="1" customWidth="1"/>
    <col min="6" max="6" width="12.28515625" style="4" customWidth="1"/>
    <col min="7" max="7" width="11.5703125" style="29"/>
  </cols>
  <sheetData>
    <row r="2" spans="2:7">
      <c r="C2" s="29" t="s">
        <v>0</v>
      </c>
      <c r="D2" s="29"/>
      <c r="E2" s="29"/>
      <c r="F2" s="29"/>
    </row>
    <row r="3" spans="2:7" ht="15.75" thickBot="1"/>
    <row r="4" spans="2:7" s="4" customFormat="1">
      <c r="B4" s="4" t="s">
        <v>5</v>
      </c>
      <c r="C4" s="19" t="s">
        <v>74</v>
      </c>
      <c r="D4" s="144" t="s">
        <v>75</v>
      </c>
      <c r="E4" s="31" t="s">
        <v>76</v>
      </c>
      <c r="F4" s="40" t="s">
        <v>77</v>
      </c>
      <c r="G4" s="32" t="s">
        <v>78</v>
      </c>
    </row>
    <row r="5" spans="2:7" ht="15.75" thickBot="1">
      <c r="C5" s="20" t="s">
        <v>22</v>
      </c>
      <c r="D5" s="145"/>
      <c r="E5" s="13"/>
      <c r="F5" s="46"/>
      <c r="G5" s="34"/>
    </row>
    <row r="6" spans="2:7">
      <c r="C6" s="7" t="s">
        <v>23</v>
      </c>
      <c r="D6" s="207"/>
      <c r="E6" s="9">
        <f>SUM(D7:D9)</f>
        <v>0</v>
      </c>
      <c r="F6" s="47"/>
      <c r="G6" s="32"/>
    </row>
    <row r="7" spans="2:7">
      <c r="C7" s="10" t="s">
        <v>24</v>
      </c>
      <c r="D7" s="208"/>
      <c r="E7" s="3"/>
      <c r="F7" s="48"/>
      <c r="G7" s="35"/>
    </row>
    <row r="8" spans="2:7">
      <c r="C8" s="10" t="s">
        <v>108</v>
      </c>
      <c r="D8" s="208"/>
      <c r="E8" s="3"/>
      <c r="F8" s="48"/>
      <c r="G8" s="35"/>
    </row>
    <row r="9" spans="2:7" ht="15.75" thickBot="1">
      <c r="C9" s="24" t="s">
        <v>109</v>
      </c>
      <c r="D9" s="210"/>
      <c r="E9" s="26"/>
      <c r="F9" s="50"/>
      <c r="G9" s="38"/>
    </row>
    <row r="10" spans="2:7" ht="15.75" thickBot="1">
      <c r="C10" s="63" t="s">
        <v>27</v>
      </c>
      <c r="D10" s="222"/>
      <c r="E10" s="71">
        <f>SUM(D11:D25)</f>
        <v>7120</v>
      </c>
      <c r="F10" s="54">
        <f>SUM(F11:F25)</f>
        <v>20.224719101123593</v>
      </c>
      <c r="G10" s="72">
        <f>(E10/E51)*100</f>
        <v>1.1579713077804303</v>
      </c>
    </row>
    <row r="11" spans="2:7">
      <c r="C11" s="61" t="s">
        <v>28</v>
      </c>
      <c r="D11" s="213"/>
      <c r="E11" s="68"/>
      <c r="F11" s="69"/>
      <c r="G11" s="70"/>
    </row>
    <row r="12" spans="2:7">
      <c r="C12" s="10" t="s">
        <v>81</v>
      </c>
      <c r="D12" s="208"/>
      <c r="E12" s="42"/>
      <c r="F12" s="55"/>
      <c r="G12" s="52"/>
    </row>
    <row r="13" spans="2:7">
      <c r="C13" s="10" t="s">
        <v>110</v>
      </c>
      <c r="D13" s="208">
        <v>3700</v>
      </c>
      <c r="E13" s="42"/>
      <c r="F13" s="55"/>
      <c r="G13" s="52"/>
    </row>
    <row r="14" spans="2:7">
      <c r="C14" s="10" t="s">
        <v>111</v>
      </c>
      <c r="D14" s="208"/>
      <c r="E14" s="42"/>
      <c r="F14" s="56">
        <f>D14/E10*100</f>
        <v>0</v>
      </c>
      <c r="G14" s="52"/>
    </row>
    <row r="15" spans="2:7">
      <c r="C15" s="10" t="s">
        <v>84</v>
      </c>
      <c r="D15" s="208">
        <v>480</v>
      </c>
      <c r="E15" s="42"/>
      <c r="F15" s="55"/>
      <c r="G15" s="52"/>
    </row>
    <row r="16" spans="2:7">
      <c r="C16" s="10" t="s">
        <v>33</v>
      </c>
      <c r="D16" s="208"/>
      <c r="E16" s="42"/>
      <c r="F16" s="55"/>
      <c r="G16" s="52"/>
    </row>
    <row r="17" spans="3:7">
      <c r="C17" s="10" t="s">
        <v>85</v>
      </c>
      <c r="D17" s="208"/>
      <c r="E17" s="42"/>
      <c r="F17" s="55"/>
      <c r="G17" s="52"/>
    </row>
    <row r="18" spans="3:7">
      <c r="C18" s="10" t="s">
        <v>86</v>
      </c>
      <c r="D18" s="208"/>
      <c r="E18" s="42"/>
      <c r="F18" s="56">
        <f>D18/E10*100</f>
        <v>0</v>
      </c>
      <c r="G18" s="52"/>
    </row>
    <row r="19" spans="3:7">
      <c r="C19" s="10" t="s">
        <v>112</v>
      </c>
      <c r="D19" s="208">
        <v>1440</v>
      </c>
      <c r="E19" s="42"/>
      <c r="F19" s="56">
        <f>D19/E10*100</f>
        <v>20.224719101123593</v>
      </c>
      <c r="G19" s="52"/>
    </row>
    <row r="20" spans="3:7">
      <c r="C20" s="10" t="s">
        <v>37</v>
      </c>
      <c r="D20" s="208">
        <v>1500</v>
      </c>
      <c r="E20" s="42"/>
      <c r="F20" s="55"/>
      <c r="G20" s="52"/>
    </row>
    <row r="21" spans="3:7">
      <c r="C21" s="10" t="s">
        <v>88</v>
      </c>
      <c r="D21" s="208"/>
      <c r="E21" s="42"/>
      <c r="F21" s="55"/>
      <c r="G21" s="52"/>
    </row>
    <row r="22" spans="3:7">
      <c r="C22" s="10" t="s">
        <v>89</v>
      </c>
      <c r="D22" s="208"/>
      <c r="E22" s="42"/>
      <c r="F22" s="56">
        <f>D22/E10*100</f>
        <v>0</v>
      </c>
      <c r="G22" s="52"/>
    </row>
    <row r="23" spans="3:7">
      <c r="C23" s="10" t="s">
        <v>90</v>
      </c>
      <c r="D23" s="208"/>
      <c r="E23" s="42"/>
      <c r="F23" s="55"/>
      <c r="G23" s="52"/>
    </row>
    <row r="24" spans="3:7">
      <c r="C24" s="10" t="s">
        <v>91</v>
      </c>
      <c r="D24" s="208"/>
      <c r="E24" s="42"/>
      <c r="F24" s="55"/>
      <c r="G24" s="52"/>
    </row>
    <row r="25" spans="3:7" ht="15.75" thickBot="1">
      <c r="C25" s="24" t="s">
        <v>92</v>
      </c>
      <c r="D25" s="210"/>
      <c r="E25" s="218"/>
      <c r="F25" s="219"/>
      <c r="G25" s="220"/>
    </row>
    <row r="26" spans="3:7">
      <c r="C26" s="7" t="s">
        <v>43</v>
      </c>
      <c r="D26" s="207"/>
      <c r="E26" s="9">
        <f>SUM(D27:D32)</f>
        <v>500</v>
      </c>
      <c r="F26" s="58">
        <f>SUM(F27:F32)</f>
        <v>0</v>
      </c>
      <c r="G26" s="36">
        <f>(E26/E51)*100</f>
        <v>8.1318209816041459E-2</v>
      </c>
    </row>
    <row r="27" spans="3:7">
      <c r="C27" s="10" t="s">
        <v>44</v>
      </c>
      <c r="D27" s="208"/>
      <c r="E27" s="3"/>
      <c r="F27" s="48"/>
      <c r="G27" s="35"/>
    </row>
    <row r="28" spans="3:7">
      <c r="C28" s="10" t="s">
        <v>113</v>
      </c>
      <c r="D28" s="208"/>
      <c r="E28" s="3"/>
      <c r="F28" s="48">
        <f>D28/E26*100</f>
        <v>0</v>
      </c>
      <c r="G28" s="35"/>
    </row>
    <row r="29" spans="3:7">
      <c r="C29" s="10" t="s">
        <v>114</v>
      </c>
      <c r="D29" s="208"/>
      <c r="E29" s="3"/>
      <c r="F29" s="48">
        <f>D29/E26*100</f>
        <v>0</v>
      </c>
      <c r="G29" s="35"/>
    </row>
    <row r="30" spans="3:7">
      <c r="C30" s="10" t="s">
        <v>95</v>
      </c>
      <c r="D30" s="208">
        <v>500</v>
      </c>
      <c r="E30" s="3"/>
      <c r="F30" s="48"/>
      <c r="G30" s="35"/>
    </row>
    <row r="31" spans="3:7">
      <c r="C31" s="10" t="s">
        <v>115</v>
      </c>
      <c r="D31" s="208"/>
      <c r="E31" s="3"/>
      <c r="F31" s="48"/>
      <c r="G31" s="35"/>
    </row>
    <row r="32" spans="3:7" ht="15.75" thickBot="1">
      <c r="C32" s="11" t="s">
        <v>116</v>
      </c>
      <c r="D32" s="221"/>
      <c r="E32" s="13"/>
      <c r="F32" s="46"/>
      <c r="G32" s="34"/>
    </row>
    <row r="33" spans="2:7">
      <c r="C33" s="7" t="s">
        <v>50</v>
      </c>
      <c r="D33" s="207"/>
      <c r="E33" s="14"/>
      <c r="F33" s="47"/>
      <c r="G33" s="32"/>
    </row>
    <row r="34" spans="2:7">
      <c r="C34" s="10" t="s">
        <v>98</v>
      </c>
      <c r="D34" s="208"/>
      <c r="E34" s="3"/>
      <c r="F34" s="48"/>
      <c r="G34" s="35"/>
    </row>
    <row r="35" spans="2:7" ht="15.75" thickBot="1">
      <c r="C35" s="11" t="s">
        <v>99</v>
      </c>
      <c r="D35" s="210"/>
      <c r="E35" s="13"/>
      <c r="F35" s="46"/>
      <c r="G35" s="34"/>
    </row>
    <row r="36" spans="2:7" ht="15.75" thickBot="1">
      <c r="B36" s="2" t="s">
        <v>53</v>
      </c>
      <c r="C36" s="214" t="s">
        <v>54</v>
      </c>
      <c r="D36" s="211"/>
      <c r="E36" s="215"/>
      <c r="F36" s="216"/>
      <c r="G36" s="217"/>
    </row>
    <row r="37" spans="2:7">
      <c r="C37" s="7" t="s">
        <v>55</v>
      </c>
      <c r="D37" s="213"/>
      <c r="E37" s="9">
        <f>SUM(D38:D41)</f>
        <v>607248.43000000005</v>
      </c>
      <c r="F37" s="45"/>
      <c r="G37" s="36">
        <f>E37/E51*100</f>
        <v>98.760710482403525</v>
      </c>
    </row>
    <row r="38" spans="2:7">
      <c r="C38" s="10" t="s">
        <v>100</v>
      </c>
      <c r="D38" s="208"/>
      <c r="E38" s="3"/>
      <c r="F38" s="48"/>
      <c r="G38" s="35"/>
    </row>
    <row r="39" spans="2:7">
      <c r="C39" s="10" t="s">
        <v>101</v>
      </c>
      <c r="D39" s="209">
        <v>456017.51</v>
      </c>
      <c r="E39" s="3"/>
      <c r="F39" s="48"/>
      <c r="G39" s="35"/>
    </row>
    <row r="40" spans="2:7">
      <c r="C40" s="10" t="s">
        <v>102</v>
      </c>
      <c r="D40" s="208">
        <v>151230.92000000001</v>
      </c>
      <c r="E40" s="3"/>
      <c r="F40" s="48"/>
      <c r="G40" s="35"/>
    </row>
    <row r="41" spans="2:7" ht="15.75" thickBot="1">
      <c r="C41" s="11" t="s">
        <v>103</v>
      </c>
      <c r="D41" s="210"/>
      <c r="E41" s="13"/>
      <c r="F41" s="46"/>
      <c r="G41" s="34"/>
    </row>
    <row r="42" spans="2:7" ht="15.75" thickBot="1">
      <c r="B42" s="2" t="s">
        <v>60</v>
      </c>
      <c r="C42" s="212" t="s">
        <v>61</v>
      </c>
      <c r="D42" s="211"/>
      <c r="E42" s="17"/>
      <c r="F42" s="33"/>
      <c r="G42" s="37"/>
    </row>
    <row r="43" spans="2:7">
      <c r="C43" s="7" t="s">
        <v>62</v>
      </c>
      <c r="D43" s="213"/>
      <c r="E43" s="21">
        <f>SUM(D44:D48)</f>
        <v>0</v>
      </c>
      <c r="F43" s="49"/>
      <c r="G43" s="36">
        <f>E43/E51*100</f>
        <v>0</v>
      </c>
    </row>
    <row r="44" spans="2:7">
      <c r="C44" s="10" t="s">
        <v>104</v>
      </c>
      <c r="D44" s="208"/>
      <c r="E44" s="3"/>
      <c r="F44" s="48"/>
      <c r="G44" s="35"/>
    </row>
    <row r="45" spans="2:7">
      <c r="C45" s="10" t="s">
        <v>105</v>
      </c>
      <c r="D45" s="208"/>
      <c r="E45" s="3"/>
      <c r="F45" s="48"/>
      <c r="G45" s="35"/>
    </row>
    <row r="46" spans="2:7">
      <c r="C46" s="10" t="s">
        <v>106</v>
      </c>
      <c r="D46" s="208"/>
      <c r="E46" s="3"/>
      <c r="F46" s="48"/>
      <c r="G46" s="35"/>
    </row>
    <row r="47" spans="2:7">
      <c r="C47" s="10" t="s">
        <v>107</v>
      </c>
      <c r="D47" s="208"/>
      <c r="E47" s="3"/>
      <c r="F47" s="48"/>
      <c r="G47" s="35"/>
    </row>
    <row r="48" spans="2:7" ht="15.75" thickBot="1">
      <c r="C48" s="24" t="s">
        <v>67</v>
      </c>
      <c r="D48" s="210"/>
      <c r="E48" s="26"/>
      <c r="F48" s="50"/>
      <c r="G48" s="38"/>
    </row>
    <row r="49" spans="3:7">
      <c r="C49" s="22" t="s">
        <v>68</v>
      </c>
      <c r="D49" s="207"/>
      <c r="E49" s="14"/>
      <c r="F49" s="47"/>
      <c r="G49" s="32"/>
    </row>
    <row r="50" spans="3:7" ht="15.75" thickBot="1">
      <c r="C50" s="24" t="s">
        <v>117</v>
      </c>
      <c r="D50" s="210"/>
      <c r="E50" s="26"/>
      <c r="F50" s="50"/>
      <c r="G50" s="38"/>
    </row>
    <row r="51" spans="3:7" ht="15.75" thickBot="1">
      <c r="C51" s="88" t="s">
        <v>71</v>
      </c>
      <c r="D51" s="211"/>
      <c r="E51" s="28">
        <f>SUM(E6:E50)</f>
        <v>614868.43000000005</v>
      </c>
      <c r="F51" s="44"/>
      <c r="G51" s="39">
        <f>SUM(G6:G50)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colli chim</dc:creator>
  <cp:keywords/>
  <dc:description/>
  <cp:lastModifiedBy>Usuario invitado</cp:lastModifiedBy>
  <cp:revision/>
  <dcterms:created xsi:type="dcterms:W3CDTF">2025-05-31T17:04:11Z</dcterms:created>
  <dcterms:modified xsi:type="dcterms:W3CDTF">2025-12-17T16:38:20Z</dcterms:modified>
  <cp:category/>
  <cp:contentStatus/>
</cp:coreProperties>
</file>