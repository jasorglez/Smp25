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icto\Desktop\Dev\TrabajoBiapp\MicroServicioTracking\Tracking\Tracking\xlsx\"/>
    </mc:Choice>
  </mc:AlternateContent>
  <xr:revisionPtr revIDLastSave="0" documentId="13_ncr:1_{91229092-9A83-41C0-B319-C092D8CAFE2C}" xr6:coauthVersionLast="47" xr6:coauthVersionMax="47" xr10:uidLastSave="{00000000-0000-0000-0000-000000000000}"/>
  <bookViews>
    <workbookView xWindow="-108" yWindow="-108" windowWidth="23256" windowHeight="12456" xr2:uid="{9FF36E92-D9F0-4D4A-8B0B-F590CD1AF4DE}"/>
  </bookViews>
  <sheets>
    <sheet name="concentrado_mes" sheetId="9" r:id="rId1"/>
    <sheet name="INGRESO-OCT" sheetId="8" r:id="rId2"/>
    <sheet name="INGRESO-NOV" sheetId="7" r:id="rId3"/>
    <sheet name="INGRESO-DICIEMBRE" sheetId="6" r:id="rId4"/>
    <sheet name="ingreso -enero" sheetId="1" r:id="rId5"/>
    <sheet name="ingreso-febrero" sheetId="2" r:id="rId6"/>
    <sheet name="ingreso-marzo" sheetId="3" r:id="rId7"/>
    <sheet name="ingreso-abril" sheetId="4" r:id="rId8"/>
    <sheet name="ingreso-mayo" sheetId="5" r:id="rId9"/>
    <sheet name="ingreso-junio" sheetId="10" r:id="rId10"/>
    <sheet name="julio" sheetId="11" r:id="rId11"/>
    <sheet name="agosto" sheetId="12" r:id="rId12"/>
    <sheet name="Septiembre" sheetId="16" r:id="rId13"/>
  </sheets>
  <definedNames>
    <definedName name="_xlnm.Print_Area" localSheetId="0">concentrado_mes!$C$5:$P$56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5" i="9" l="1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E10" i="8"/>
  <c r="F19" i="8" s="1"/>
  <c r="F14" i="8"/>
  <c r="F18" i="8"/>
  <c r="F26" i="8"/>
  <c r="F28" i="8"/>
  <c r="F29" i="8"/>
  <c r="E37" i="8"/>
  <c r="E51" i="8"/>
  <c r="G26" i="8" s="1"/>
  <c r="E10" i="7"/>
  <c r="F28" i="7"/>
  <c r="F26" i="7" s="1"/>
  <c r="F29" i="7"/>
  <c r="E37" i="7"/>
  <c r="E6" i="6"/>
  <c r="E51" i="6" s="1"/>
  <c r="E10" i="6"/>
  <c r="F14" i="6"/>
  <c r="F10" i="6" s="1"/>
  <c r="F18" i="6"/>
  <c r="F19" i="6"/>
  <c r="F22" i="6"/>
  <c r="F26" i="6"/>
  <c r="F28" i="6"/>
  <c r="F29" i="6"/>
  <c r="E37" i="6"/>
  <c r="E10" i="1"/>
  <c r="F18" i="1" s="1"/>
  <c r="F14" i="1"/>
  <c r="F26" i="1"/>
  <c r="F28" i="1"/>
  <c r="F29" i="1"/>
  <c r="E37" i="1"/>
  <c r="E51" i="1"/>
  <c r="G10" i="1" s="1"/>
  <c r="E10" i="2"/>
  <c r="F14" i="2"/>
  <c r="F10" i="2" s="1"/>
  <c r="F18" i="2"/>
  <c r="F19" i="2"/>
  <c r="F22" i="2"/>
  <c r="E26" i="2"/>
  <c r="G26" i="2"/>
  <c r="F28" i="2"/>
  <c r="F26" i="2" s="1"/>
  <c r="F29" i="2"/>
  <c r="E37" i="2"/>
  <c r="G37" i="2"/>
  <c r="F38" i="2"/>
  <c r="F37" i="2" s="1"/>
  <c r="F39" i="2"/>
  <c r="E43" i="2"/>
  <c r="E51" i="2"/>
  <c r="G10" i="2" s="1"/>
  <c r="E10" i="3"/>
  <c r="F14" i="3" s="1"/>
  <c r="E26" i="3"/>
  <c r="F28" i="3"/>
  <c r="F26" i="3" s="1"/>
  <c r="F29" i="3"/>
  <c r="E37" i="3"/>
  <c r="E43" i="3"/>
  <c r="E6" i="4"/>
  <c r="E51" i="4" s="1"/>
  <c r="E10" i="4"/>
  <c r="F14" i="4"/>
  <c r="F10" i="4" s="1"/>
  <c r="F18" i="4"/>
  <c r="F19" i="4"/>
  <c r="F22" i="4"/>
  <c r="E26" i="4"/>
  <c r="E37" i="4"/>
  <c r="E43" i="4"/>
  <c r="E6" i="5"/>
  <c r="E51" i="5" s="1"/>
  <c r="E10" i="5"/>
  <c r="G10" i="5" s="1"/>
  <c r="F28" i="5"/>
  <c r="F26" i="5" s="1"/>
  <c r="F29" i="5"/>
  <c r="E37" i="5"/>
  <c r="E43" i="5"/>
  <c r="E6" i="10"/>
  <c r="E10" i="10"/>
  <c r="F14" i="10"/>
  <c r="F10" i="10" s="1"/>
  <c r="F18" i="10"/>
  <c r="F19" i="10"/>
  <c r="F22" i="10"/>
  <c r="E26" i="10"/>
  <c r="F28" i="10"/>
  <c r="F26" i="10" s="1"/>
  <c r="F29" i="10"/>
  <c r="E37" i="10"/>
  <c r="E43" i="10"/>
  <c r="E51" i="10"/>
  <c r="G26" i="10" s="1"/>
  <c r="E6" i="11"/>
  <c r="E51" i="11" s="1"/>
  <c r="E10" i="11"/>
  <c r="F14" i="11"/>
  <c r="F10" i="11" s="1"/>
  <c r="F18" i="11"/>
  <c r="F19" i="11"/>
  <c r="F22" i="11"/>
  <c r="E26" i="11"/>
  <c r="F28" i="11"/>
  <c r="F26" i="11" s="1"/>
  <c r="F29" i="11"/>
  <c r="E37" i="11"/>
  <c r="E43" i="11"/>
  <c r="E6" i="12"/>
  <c r="E10" i="12"/>
  <c r="F19" i="12" s="1"/>
  <c r="F14" i="12"/>
  <c r="F18" i="12"/>
  <c r="E26" i="12"/>
  <c r="G26" i="12" s="1"/>
  <c r="E37" i="12"/>
  <c r="E43" i="12"/>
  <c r="E51" i="12"/>
  <c r="G37" i="12" s="1"/>
  <c r="E6" i="16"/>
  <c r="E10" i="16"/>
  <c r="F22" i="16"/>
  <c r="E26" i="16"/>
  <c r="F28" i="16" s="1"/>
  <c r="E37" i="16"/>
  <c r="E43" i="16"/>
  <c r="G56" i="9" l="1"/>
  <c r="M56" i="9"/>
  <c r="J56" i="9"/>
  <c r="P56" i="9"/>
  <c r="D56" i="9"/>
  <c r="F10" i="12"/>
  <c r="G37" i="11"/>
  <c r="G10" i="11"/>
  <c r="G51" i="11" s="1"/>
  <c r="G43" i="11"/>
  <c r="G26" i="11"/>
  <c r="G43" i="5"/>
  <c r="G26" i="5"/>
  <c r="G51" i="5" s="1"/>
  <c r="G37" i="5"/>
  <c r="G37" i="6"/>
  <c r="G51" i="1"/>
  <c r="G37" i="4"/>
  <c r="G10" i="4"/>
  <c r="G43" i="4"/>
  <c r="G26" i="6"/>
  <c r="G43" i="6"/>
  <c r="G10" i="6"/>
  <c r="G26" i="4"/>
  <c r="F10" i="3"/>
  <c r="G43" i="12"/>
  <c r="G10" i="12"/>
  <c r="G51" i="12" s="1"/>
  <c r="G43" i="1"/>
  <c r="G10" i="8"/>
  <c r="G43" i="10"/>
  <c r="G37" i="1"/>
  <c r="G43" i="8"/>
  <c r="F19" i="16"/>
  <c r="G10" i="10"/>
  <c r="G37" i="8"/>
  <c r="E51" i="16"/>
  <c r="F18" i="16"/>
  <c r="F29" i="12"/>
  <c r="G37" i="10"/>
  <c r="G43" i="2"/>
  <c r="G51" i="2" s="1"/>
  <c r="F14" i="16"/>
  <c r="F28" i="12"/>
  <c r="F22" i="5"/>
  <c r="F22" i="7"/>
  <c r="F19" i="5"/>
  <c r="G26" i="1"/>
  <c r="F19" i="7"/>
  <c r="F18" i="5"/>
  <c r="F29" i="4"/>
  <c r="F22" i="3"/>
  <c r="F18" i="7"/>
  <c r="F14" i="5"/>
  <c r="F28" i="4"/>
  <c r="F19" i="3"/>
  <c r="F22" i="1"/>
  <c r="F14" i="7"/>
  <c r="F29" i="16"/>
  <c r="F26" i="16" s="1"/>
  <c r="F22" i="12"/>
  <c r="E51" i="3"/>
  <c r="F18" i="3"/>
  <c r="F19" i="1"/>
  <c r="F10" i="1" s="1"/>
  <c r="E51" i="7"/>
  <c r="F22" i="8"/>
  <c r="F10" i="8" s="1"/>
  <c r="G43" i="7" l="1"/>
  <c r="G37" i="7"/>
  <c r="G26" i="7"/>
  <c r="G10" i="7"/>
  <c r="G51" i="7" s="1"/>
  <c r="G37" i="16"/>
  <c r="G26" i="16"/>
  <c r="G43" i="16"/>
  <c r="G37" i="3"/>
  <c r="G10" i="3"/>
  <c r="G26" i="3"/>
  <c r="G51" i="10"/>
  <c r="G51" i="6"/>
  <c r="F10" i="7"/>
  <c r="G43" i="3"/>
  <c r="G10" i="16"/>
  <c r="F26" i="12"/>
  <c r="F26" i="4"/>
  <c r="F10" i="16"/>
  <c r="G51" i="8"/>
  <c r="G51" i="4"/>
  <c r="F10" i="5"/>
  <c r="G51" i="3" l="1"/>
  <c r="G51" i="16"/>
</calcChain>
</file>

<file path=xl/sharedStrings.xml><?xml version="1.0" encoding="utf-8"?>
<sst xmlns="http://schemas.openxmlformats.org/spreadsheetml/2006/main" count="748" uniqueCount="120">
  <si>
    <t>INGRESO GENERAL</t>
  </si>
  <si>
    <t>DEC-2025</t>
  </si>
  <si>
    <t>NOV-2025</t>
  </si>
  <si>
    <t>OCT-2025</t>
  </si>
  <si>
    <t>Quinto Trimestre</t>
  </si>
  <si>
    <t>SEP-2025</t>
  </si>
  <si>
    <t>A</t>
  </si>
  <si>
    <t>CONCEPTO/MES</t>
  </si>
  <si>
    <t>AUG-2025</t>
  </si>
  <si>
    <t>JUL-2025</t>
  </si>
  <si>
    <t>Cuarto Trimestre</t>
  </si>
  <si>
    <t>JUN-2025</t>
  </si>
  <si>
    <t>MAY-2025</t>
  </si>
  <si>
    <t>APR-2025</t>
  </si>
  <si>
    <t>Tercer Trimestre</t>
  </si>
  <si>
    <t>MAR-2025</t>
  </si>
  <si>
    <t>FEB-2025</t>
  </si>
  <si>
    <t>JAN-2025</t>
  </si>
  <si>
    <t>Segundo Trimestre</t>
  </si>
  <si>
    <t>DEC-2024</t>
  </si>
  <si>
    <t>NOV-2024</t>
  </si>
  <si>
    <t>OCT-2024</t>
  </si>
  <si>
    <t>Primer Trimestre</t>
  </si>
  <si>
    <t xml:space="preserve"> INGRESOS PROPIOS</t>
  </si>
  <si>
    <t>1.-IMPUESTOS</t>
  </si>
  <si>
    <t>1.1.-Predial</t>
  </si>
  <si>
    <t>1.2.-Sobre espectaculos publicos</t>
  </si>
  <si>
    <t xml:space="preserve">1.3.-sobre adquisiciòn de inmuebles </t>
  </si>
  <si>
    <t>2.- DERECHOS</t>
  </si>
  <si>
    <t>POR SERVICIOS PUBLICOS</t>
  </si>
  <si>
    <t>Derecho de piso</t>
  </si>
  <si>
    <t>Servicio de pantiones</t>
  </si>
  <si>
    <t>Servicio de recolecciòn de basura</t>
  </si>
  <si>
    <t>Por uso de Rastro publico</t>
  </si>
  <si>
    <t>POR AUTORIZACIÒN Y LICENCIAS DIVERSAS</t>
  </si>
  <si>
    <t>Por uso de suelo</t>
  </si>
  <si>
    <t>Licencia  de funcionamiento</t>
  </si>
  <si>
    <t>Por uso de la via publica</t>
  </si>
  <si>
    <t>POR EXPEDICIÒN DE CERTYIF., CONSTANCIAS Y DUPLICADOS.</t>
  </si>
  <si>
    <t xml:space="preserve">Certificados </t>
  </si>
  <si>
    <t>Constancias</t>
  </si>
  <si>
    <t>Duplicados</t>
  </si>
  <si>
    <t>Documentos de compra venta</t>
  </si>
  <si>
    <t>Otros derechos</t>
  </si>
  <si>
    <t>3.- PRODUCTOS</t>
  </si>
  <si>
    <t>POR ENAJENACIÒN DE BIENES E INMUEBLES</t>
  </si>
  <si>
    <t>Panteon Municipal (Lotes y Nichos)</t>
  </si>
  <si>
    <t>Panteon Municipal (Boveda)</t>
  </si>
  <si>
    <t>Mercado publico y Locales Comerciales</t>
  </si>
  <si>
    <t>Baños publicos</t>
  </si>
  <si>
    <t>Otros Productos (Ferias Tradicioners)</t>
  </si>
  <si>
    <t>4.- APROVECHAMIENTOS</t>
  </si>
  <si>
    <t>Rezagos</t>
  </si>
  <si>
    <t>Multas</t>
  </si>
  <si>
    <t>B</t>
  </si>
  <si>
    <t>INGRESOS POR PARTICIPACIÒN</t>
  </si>
  <si>
    <t>5.- PARTICIPACIONES</t>
  </si>
  <si>
    <t>Fondo Municipal</t>
  </si>
  <si>
    <t>Fondo Estatal</t>
  </si>
  <si>
    <t>Complemento de Fondo Estatal</t>
  </si>
  <si>
    <t>Fondo Municipal  de Prima Vacacional</t>
  </si>
  <si>
    <t>C</t>
  </si>
  <si>
    <t>INGRESOS EXTRAORDINARIOS</t>
  </si>
  <si>
    <t>6.- APOYO EXTRAORDINARIOS</t>
  </si>
  <si>
    <t>Donaciones</t>
  </si>
  <si>
    <t>Deboluciones pago de ISR</t>
  </si>
  <si>
    <t>Apoyo Extraordinario</t>
  </si>
  <si>
    <t>Otros Apoyos (Aguinaldo)</t>
  </si>
  <si>
    <t>D.- OTROS INGRESOS</t>
  </si>
  <si>
    <t>7.-Ajuste Anual</t>
  </si>
  <si>
    <t>8.- Prestamo</t>
  </si>
  <si>
    <t xml:space="preserve">TOTAL DE INGRESOS DEL MES </t>
  </si>
  <si>
    <t>CONCEPTO</t>
  </si>
  <si>
    <t>SUB- TOTAL</t>
  </si>
  <si>
    <t>TOTAL</t>
  </si>
  <si>
    <t>% /RUBRO</t>
  </si>
  <si>
    <t>% GLOBAL</t>
  </si>
  <si>
    <t>Pantion Municipal (Lotes y Nichos)</t>
  </si>
  <si>
    <t>Pantion Municipal (Boveda)</t>
  </si>
  <si>
    <t>2.1.-Derecho de piso</t>
  </si>
  <si>
    <t>2.2.-Servicio de pantiones</t>
  </si>
  <si>
    <t>2.3.-Servicio de recolecciòn de basura</t>
  </si>
  <si>
    <t>2.4.-Por uso de Rastro publico</t>
  </si>
  <si>
    <t>2.5.-Por uso de suelo</t>
  </si>
  <si>
    <t>2.6.-Licencia  de funcionamiento</t>
  </si>
  <si>
    <t>2.7.-Por uso de la via publica</t>
  </si>
  <si>
    <t xml:space="preserve">2.8.-Certificados </t>
  </si>
  <si>
    <t>2.9.-Constancias</t>
  </si>
  <si>
    <t>2.10.-Duplicados</t>
  </si>
  <si>
    <t>2.11.-Documentos de compra venta</t>
  </si>
  <si>
    <t>2.12.-Otros derechos</t>
  </si>
  <si>
    <t>3.1.-Pantion Municipal (Lotes y Nichos)</t>
  </si>
  <si>
    <t>3.2.-Pantion Municipal (Boveda)</t>
  </si>
  <si>
    <t>3.3.-Mercado publico y Locales Comerciales</t>
  </si>
  <si>
    <t>3.4.-Baños publicos</t>
  </si>
  <si>
    <t>3.5.-Otros Productos (Ferias Tradicioners)</t>
  </si>
  <si>
    <t>4.1.-Rezagos</t>
  </si>
  <si>
    <t>4.2.-Multas</t>
  </si>
  <si>
    <t>5.1.-Fondo Municipal</t>
  </si>
  <si>
    <t>5.2.-Fondo Estatal</t>
  </si>
  <si>
    <t>5.3.-Complemento de Fondo Estatal</t>
  </si>
  <si>
    <t>5.4.-Fondo Municipal  de Prima Vacacional</t>
  </si>
  <si>
    <t>6.1.-Donaciones</t>
  </si>
  <si>
    <t>6.2.-Deboluciones pago de ISR</t>
  </si>
  <si>
    <t>6.3.-Apoyo Extraordinario</t>
  </si>
  <si>
    <t>6.4.-Otros Apoyos (Aguinaldo)</t>
  </si>
  <si>
    <t>1.2.-Sobre espectáculos públicos</t>
  </si>
  <si>
    <t xml:space="preserve">1.3.-sobre adquisición de inmuebles </t>
  </si>
  <si>
    <t>2.2.-Servicio de panteones</t>
  </si>
  <si>
    <t>2.3.-Servicio de recolección de basura</t>
  </si>
  <si>
    <t>2.7.-Por uso de la vía publica</t>
  </si>
  <si>
    <t>3.1.-Panteòn Municipal (Lotes y Nichos)</t>
  </si>
  <si>
    <t>3.2.-Panteon Municipal (Bóveda)</t>
  </si>
  <si>
    <t>3.4.-Baños públicos</t>
  </si>
  <si>
    <t>3.5.-Otros Productos (Ferias Tradiciones)</t>
  </si>
  <si>
    <t>8.- Préstamo</t>
  </si>
  <si>
    <t>NUNKINI</t>
  </si>
  <si>
    <t>RFC: XXXXXXXXXXXXXX   CALLE 22 No. 234</t>
  </si>
  <si>
    <t>Nunkini, Campeche</t>
  </si>
  <si>
    <t>zsczxcc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</si>
</sst>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#,##0_ ;\-#,##0\ "/>
    <numFmt numFmtId="165" formatCode="&quot;$&quot;#,##0.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000000"/>
      <name val="Aptos ExtraBold"/>
      <family val="2"/>
    </font>
    <font>
      <b/>
      <i/>
      <sz val="12"/>
      <color rgb="FF000000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8">
    <xf numFmtId="0" fontId="0" fillId="0" borderId="0" xfId="0"/>
    <xf numFmtId="0" fontId="5" fillId="0" borderId="0" xfId="0" applyFont="1" applyAlignment="1">
      <alignment horizontal="center"/>
    </xf>
    <xf numFmtId="0" fontId="0" fillId="0" borderId="49" xfId="0" applyBorder="1"/>
    <xf numFmtId="0" fontId="2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1" xfId="0" applyBorder="1"/>
    <xf numFmtId="0" fontId="0" fillId="0" borderId="0" xfId="0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0" xfId="1" applyFont="1" applyAlignment="1">
      <alignment horizontal="center"/>
    </xf>
    <xf numFmtId="0" fontId="2" fillId="0" borderId="4" xfId="0" applyFont="1" applyBorder="1"/>
    <xf numFmtId="44" fontId="0" fillId="0" borderId="5" xfId="1" applyFont="1" applyBorder="1" applyAlignment="1">
      <alignment horizontal="center"/>
    </xf>
    <xf numFmtId="44" fontId="2" fillId="0" borderId="5" xfId="0" applyNumberFormat="1" applyFont="1" applyBorder="1"/>
    <xf numFmtId="0" fontId="0" fillId="0" borderId="7" xfId="0" applyBorder="1"/>
    <xf numFmtId="0" fontId="0" fillId="0" borderId="9" xfId="0" applyBorder="1"/>
    <xf numFmtId="44" fontId="0" fillId="0" borderId="10" xfId="1" applyFont="1" applyBorder="1" applyAlignment="1">
      <alignment horizontal="center"/>
    </xf>
    <xf numFmtId="0" fontId="0" fillId="0" borderId="10" xfId="0" applyBorder="1"/>
    <xf numFmtId="0" fontId="0" fillId="0" borderId="5" xfId="0" applyBorder="1"/>
    <xf numFmtId="0" fontId="2" fillId="0" borderId="12" xfId="0" applyFont="1" applyBorder="1"/>
    <xf numFmtId="44" fontId="0" fillId="0" borderId="12" xfId="1" applyFont="1" applyBorder="1" applyAlignment="1">
      <alignment horizontal="center"/>
    </xf>
    <xf numFmtId="0" fontId="0" fillId="0" borderId="12" xfId="0" applyBorder="1"/>
    <xf numFmtId="44" fontId="2" fillId="0" borderId="12" xfId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/>
    <xf numFmtId="44" fontId="0" fillId="0" borderId="5" xfId="0" applyNumberFormat="1" applyBorder="1"/>
    <xf numFmtId="0" fontId="0" fillId="0" borderId="4" xfId="0" applyBorder="1"/>
    <xf numFmtId="0" fontId="0" fillId="0" borderId="13" xfId="0" applyBorder="1"/>
    <xf numFmtId="0" fontId="0" fillId="0" borderId="3" xfId="0" applyBorder="1"/>
    <xf numFmtId="44" fontId="2" fillId="0" borderId="16" xfId="1" applyFont="1" applyBorder="1" applyAlignment="1">
      <alignment horizontal="center"/>
    </xf>
    <xf numFmtId="0" fontId="2" fillId="0" borderId="0" xfId="0" applyFont="1" applyAlignment="1">
      <alignment horizontal="center"/>
    </xf>
    <xf numFmtId="44" fontId="2" fillId="0" borderId="5" xfId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44" fontId="2" fillId="0" borderId="18" xfId="0" applyNumberFormat="1" applyFont="1" applyBorder="1"/>
    <xf numFmtId="44" fontId="2" fillId="0" borderId="22" xfId="1" applyFont="1" applyBorder="1" applyAlignment="1">
      <alignment horizontal="center"/>
    </xf>
    <xf numFmtId="44" fontId="2" fillId="0" borderId="18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44" fontId="0" fillId="0" borderId="18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2" fontId="2" fillId="0" borderId="23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1" fontId="0" fillId="0" borderId="20" xfId="0" applyNumberFormat="1" applyBorder="1" applyAlignment="1">
      <alignment horizontal="center"/>
    </xf>
    <xf numFmtId="0" fontId="2" fillId="0" borderId="28" xfId="0" applyFont="1" applyBorder="1"/>
    <xf numFmtId="44" fontId="0" fillId="0" borderId="29" xfId="1" applyFont="1" applyBorder="1" applyAlignment="1">
      <alignment horizontal="center"/>
    </xf>
    <xf numFmtId="0" fontId="2" fillId="0" borderId="15" xfId="0" applyFont="1" applyBorder="1"/>
    <xf numFmtId="44" fontId="0" fillId="0" borderId="16" xfId="1" applyFont="1" applyBorder="1" applyAlignment="1">
      <alignment horizontal="center"/>
    </xf>
    <xf numFmtId="0" fontId="2" fillId="0" borderId="7" xfId="0" applyFont="1" applyBorder="1"/>
    <xf numFmtId="0" fontId="0" fillId="0" borderId="30" xfId="0" applyBorder="1"/>
    <xf numFmtId="0" fontId="0" fillId="0" borderId="32" xfId="0" applyBorder="1" applyAlignment="1">
      <alignment horizontal="center"/>
    </xf>
    <xf numFmtId="0" fontId="2" fillId="0" borderId="33" xfId="0" applyFont="1" applyBorder="1" applyAlignment="1">
      <alignment horizontal="center"/>
    </xf>
    <xf numFmtId="44" fontId="2" fillId="0" borderId="22" xfId="0" applyNumberFormat="1" applyFont="1" applyBorder="1"/>
    <xf numFmtId="2" fontId="2" fillId="0" borderId="34" xfId="0" applyNumberFormat="1" applyFont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 applyAlignment="1">
      <alignment horizontal="center"/>
    </xf>
    <xf numFmtId="0" fontId="2" fillId="0" borderId="31" xfId="0" applyFont="1" applyBorder="1" applyAlignment="1">
      <alignment horizontal="center"/>
    </xf>
    <xf numFmtId="44" fontId="2" fillId="0" borderId="16" xfId="0" applyNumberFormat="1" applyFont="1" applyBorder="1"/>
    <xf numFmtId="164" fontId="2" fillId="0" borderId="22" xfId="0" applyNumberFormat="1" applyFont="1" applyBorder="1" applyAlignment="1">
      <alignment horizontal="center"/>
    </xf>
    <xf numFmtId="2" fontId="2" fillId="0" borderId="17" xfId="0" applyNumberFormat="1" applyFont="1" applyBorder="1" applyAlignment="1">
      <alignment horizontal="center"/>
    </xf>
    <xf numFmtId="44" fontId="0" fillId="0" borderId="0" xfId="0" applyNumberFormat="1"/>
    <xf numFmtId="0" fontId="2" fillId="0" borderId="36" xfId="0" applyFont="1" applyBorder="1"/>
    <xf numFmtId="0" fontId="0" fillId="0" borderId="38" xfId="0" applyBorder="1"/>
    <xf numFmtId="0" fontId="0" fillId="0" borderId="39" xfId="0" applyBorder="1"/>
    <xf numFmtId="0" fontId="0" fillId="0" borderId="37" xfId="0" applyBorder="1"/>
    <xf numFmtId="0" fontId="2" fillId="0" borderId="35" xfId="0" applyFont="1" applyBorder="1"/>
    <xf numFmtId="0" fontId="2" fillId="0" borderId="40" xfId="0" applyFont="1" applyBorder="1"/>
    <xf numFmtId="0" fontId="0" fillId="0" borderId="40" xfId="0" applyBorder="1"/>
    <xf numFmtId="0" fontId="2" fillId="0" borderId="35" xfId="0" applyFont="1" applyBorder="1" applyAlignment="1">
      <alignment horizontal="left"/>
    </xf>
    <xf numFmtId="0" fontId="2" fillId="0" borderId="35" xfId="0" applyFont="1" applyBorder="1" applyAlignment="1">
      <alignment horizontal="center"/>
    </xf>
    <xf numFmtId="44" fontId="0" fillId="0" borderId="3" xfId="1" applyFont="1" applyBorder="1" applyAlignment="1">
      <alignment horizontal="center"/>
    </xf>
    <xf numFmtId="0" fontId="0" fillId="0" borderId="35" xfId="0" applyBorder="1"/>
    <xf numFmtId="0" fontId="0" fillId="0" borderId="43" xfId="0" applyBorder="1" applyAlignment="1">
      <alignment horizontal="right"/>
    </xf>
    <xf numFmtId="0" fontId="2" fillId="0" borderId="3" xfId="0" applyFont="1" applyBorder="1"/>
    <xf numFmtId="0" fontId="2" fillId="0" borderId="41" xfId="0" applyFont="1" applyBorder="1"/>
    <xf numFmtId="165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2" fillId="0" borderId="45" xfId="0" applyFont="1" applyBorder="1"/>
    <xf numFmtId="165" fontId="0" fillId="0" borderId="31" xfId="0" applyNumberFormat="1" applyBorder="1" applyAlignment="1">
      <alignment horizontal="center"/>
    </xf>
    <xf numFmtId="0" fontId="2" fillId="0" borderId="42" xfId="0" applyFont="1" applyBorder="1"/>
    <xf numFmtId="0" fontId="0" fillId="0" borderId="44" xfId="0" applyBorder="1"/>
    <xf numFmtId="0" fontId="0" fillId="0" borderId="44" xfId="0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0" fillId="0" borderId="21" xfId="0" applyBorder="1"/>
    <xf numFmtId="0" fontId="0" fillId="0" borderId="48" xfId="0" applyBorder="1" applyAlignment="1">
      <alignment horizontal="center"/>
    </xf>
    <xf numFmtId="0" fontId="2" fillId="0" borderId="47" xfId="0" applyFon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38" xfId="0" applyNumberFormat="1" applyFill="1" applyBorder="1" applyAlignment="1" applyProtection="1"/>
    <xf numFmtId="44" fontId="0" fillId="2" borderId="0" xfId="0" applyNumberFormat="1" applyFill="1" applyAlignment="1" applyProtection="1">
      <alignment horizontal="center"/>
    </xf>
    <xf numFmtId="0" fontId="2" fillId="2" borderId="0" xfId="0" applyNumberFormat="1" applyFont="1" applyFill="1" applyAlignment="1" applyProtection="1">
      <alignment horizontal="center"/>
    </xf>
    <xf numFmtId="44" fontId="2" fillId="2" borderId="5" xfId="0" applyNumberFormat="1" applyFont="1" applyFill="1" applyBorder="1" applyAlignment="1" applyProtection="1">
      <alignment horizontal="center"/>
    </xf>
    <xf numFmtId="44" fontId="0" fillId="2" borderId="10" xfId="0" applyNumberFormat="1" applyFill="1" applyBorder="1" applyAlignment="1" applyProtection="1">
      <alignment horizontal="center"/>
    </xf>
    <xf numFmtId="44" fontId="0" fillId="2" borderId="5" xfId="0" applyNumberFormat="1" applyFill="1" applyBorder="1" applyAlignment="1" applyProtection="1">
      <alignment horizontal="center"/>
    </xf>
    <xf numFmtId="44" fontId="0" fillId="2" borderId="1" xfId="0" applyNumberFormat="1" applyFill="1" applyBorder="1" applyAlignment="1" applyProtection="1">
      <alignment horizontal="center"/>
    </xf>
    <xf numFmtId="44" fontId="0" fillId="2" borderId="12" xfId="0" applyNumberFormat="1" applyFill="1" applyBorder="1" applyAlignment="1" applyProtection="1">
      <alignment horizontal="center"/>
    </xf>
    <xf numFmtId="44" fontId="2" fillId="2" borderId="12" xfId="0" applyNumberFormat="1" applyFont="1" applyFill="1" applyBorder="1" applyAlignment="1" applyProtection="1">
      <alignment horizontal="center"/>
    </xf>
    <xf numFmtId="44" fontId="0" fillId="2" borderId="3" xfId="0" applyNumberFormat="1" applyFill="1" applyBorder="1" applyAlignment="1" applyProtection="1">
      <alignment horizontal="center"/>
    </xf>
    <xf numFmtId="44" fontId="0" fillId="2" borderId="16" xfId="0" applyNumberFormat="1" applyFill="1" applyBorder="1" applyAlignment="1" applyProtection="1">
      <alignment horizontal="center"/>
    </xf>
    <xf numFmtId="44" fontId="0" fillId="3" borderId="0" xfId="0" applyNumberFormat="1" applyFill="1" applyAlignment="1" applyProtection="1">
      <alignment horizontal="center"/>
    </xf>
    <xf numFmtId="0" fontId="2" fillId="3" borderId="0" xfId="0" applyNumberFormat="1" applyFont="1" applyFill="1" applyAlignment="1" applyProtection="1">
      <alignment horizontal="center"/>
    </xf>
    <xf numFmtId="44" fontId="2" fillId="3" borderId="5" xfId="0" applyNumberFormat="1" applyFont="1" applyFill="1" applyBorder="1" applyAlignment="1" applyProtection="1">
      <alignment horizontal="center"/>
    </xf>
    <xf numFmtId="44" fontId="0" fillId="3" borderId="10" xfId="0" applyNumberFormat="1" applyFill="1" applyBorder="1" applyAlignment="1" applyProtection="1">
      <alignment horizontal="center"/>
    </xf>
    <xf numFmtId="44" fontId="0" fillId="3" borderId="5" xfId="0" applyNumberFormat="1" applyFill="1" applyBorder="1" applyAlignment="1" applyProtection="1">
      <alignment horizontal="center"/>
    </xf>
    <xf numFmtId="44" fontId="0" fillId="3" borderId="1" xfId="0" applyNumberFormat="1" applyFill="1" applyBorder="1" applyAlignment="1" applyProtection="1">
      <alignment horizontal="center"/>
    </xf>
    <xf numFmtId="44" fontId="0" fillId="3" borderId="12" xfId="0" applyNumberFormat="1" applyFill="1" applyBorder="1" applyAlignment="1" applyProtection="1">
      <alignment horizontal="center"/>
    </xf>
    <xf numFmtId="44" fontId="2" fillId="3" borderId="12" xfId="0" applyNumberFormat="1" applyFont="1" applyFill="1" applyBorder="1" applyAlignment="1" applyProtection="1">
      <alignment horizontal="center"/>
    </xf>
    <xf numFmtId="44" fontId="0" fillId="3" borderId="3" xfId="0" applyNumberFormat="1" applyFill="1" applyBorder="1" applyAlignment="1" applyProtection="1">
      <alignment horizontal="center"/>
    </xf>
    <xf numFmtId="44" fontId="0" fillId="3" borderId="16" xfId="0" applyNumberFormat="1" applyFill="1" applyBorder="1" applyAlignment="1" applyProtection="1">
      <alignment horizontal="center"/>
    </xf>
    <xf numFmtId="44" fontId="0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1264920</xdr:colOff>
      <xdr:row>0</xdr:row>
      <xdr:rowOff>0</xdr:rowOff>
    </xdr:from>
    <xdr:to>
      <xdr:col>2</xdr:col>
      <xdr:colOff>2362200</xdr:colOff>
      <xdr:row>5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673BAF-83B9-4AE1-B65E-86F0F7270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6540" y="0"/>
          <a:ext cx="1097280" cy="1059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2A69-1D6E-4FC0-B0F6-2AB342B1150F}">
  <dimension ref="A1:U58"/>
  <sheetViews>
    <sheetView tabSelected="1" topLeftCell="C1" workbookViewId="0">
      <pane xSplit="1" ySplit="9" topLeftCell="D10" activePane="bottomRight" state="frozenSplit"/>
      <selection activeCell="D1" sqref="D1"/>
      <selection pane="topRight" activeCell="C1" sqref="C1"/>
      <selection pane="bottomLeft" activeCell="C1" sqref="C1"/>
      <selection pane="bottomRight" activeCell="F5" sqref="F5"/>
    </sheetView>
  </sheetViews>
  <sheetFormatPr baseColWidth="10" defaultColWidth="11.44140625" defaultRowHeight="14.4"/>
  <cols>
    <col min="1" max="1" width="11.44140625" customWidth="1"/>
    <col min="2" max="2" width="10.88671875" style="5" customWidth="1"/>
    <col min="3" max="3" width="51.109375" customWidth="1"/>
    <col min="4" max="4" width="12.6640625" style="10" customWidth="1"/>
    <col min="5" max="5" width="15.33203125" customWidth="1"/>
    <col min="6" max="6" width="12.6640625" style="8" customWidth="1"/>
    <col min="7" max="7" width="12.6640625" style="30" customWidth="1"/>
    <col min="8" max="8" width="15.33203125" customWidth="1"/>
    <col min="9" max="9" width="14" customWidth="1"/>
    <col min="10" max="11" width="12.6640625" customWidth="1"/>
    <col min="12" max="13" width="12.5546875" customWidth="1"/>
    <col min="14" max="14" width="12.6640625" customWidth="1"/>
    <col min="15" max="15" width="12.5546875" style="95" customWidth="1"/>
    <col min="16" max="16" width="14" style="8" customWidth="1"/>
    <col min="17" max="17" width="15" customWidth="1"/>
    <col min="18" max="18" width="15.33203125" customWidth="1"/>
    <col min="19" max="19" width="17.5546875" customWidth="1"/>
    <col min="20" max="20" width="15.33203125" customWidth="1"/>
    <col min="21" max="21" width="18.33203125" customWidth="1"/>
  </cols>
  <sheetData>
    <row r="1" spans="1:18">
      <c r="G1" s="112"/>
    </row>
    <row r="2" spans="1:18" ht="23.4" customHeight="1">
      <c r="F2" s="4" t="s">
        <v>116</v>
      </c>
      <c r="G2" s="112"/>
      <c r="O2"/>
    </row>
    <row r="3" spans="1:18" ht="15.6">
      <c r="F3" s="1" t="s">
        <v>117</v>
      </c>
      <c r="G3" s="112"/>
    </row>
    <row r="4" spans="1:18" ht="15.6">
      <c r="F4" s="1" t="s">
        <v>118</v>
      </c>
      <c r="G4" s="112"/>
    </row>
    <row r="6" spans="1:18" ht="15" customHeight="1" thickBot="1">
      <c r="C6" s="3" t="s">
        <v>0</v>
      </c>
    </row>
    <row r="7" spans="1:18" ht="15" customHeight="1" thickTop="1" thickBot="1">
      <c r="C7" s="2"/>
      <c r="D7" s="134" t="s">
        <v>22</v>
      </c>
      <c r="E7" s="134"/>
      <c r="F7" s="134"/>
      <c r="G7" s="135" t="s">
        <v>18</v>
      </c>
      <c r="H7" s="135"/>
      <c r="I7" s="135"/>
      <c r="J7" s="136" t="s">
        <v>14</v>
      </c>
      <c r="K7" s="136"/>
      <c r="L7" s="136"/>
      <c r="M7" s="136" t="s">
        <v>10</v>
      </c>
      <c r="N7" s="136"/>
      <c r="O7" s="137"/>
      <c r="P7" s="136" t="s">
        <v>4</v>
      </c>
      <c r="Q7" s="136"/>
      <c r="R7" s="136"/>
    </row>
    <row r="8" spans="1:18" s="8" customFormat="1" ht="15" thickBot="1">
      <c r="B8" s="8" t="s">
        <v>6</v>
      </c>
      <c r="C8" s="88" t="s">
        <v>7</v>
      </c>
      <c r="D8" s="10" t="s">
        <v>21</v>
      </c>
      <c r="E8" s="8" t="s">
        <v>20</v>
      </c>
      <c r="F8" s="8" t="s">
        <v>19</v>
      </c>
      <c r="G8" s="30" t="s">
        <v>17</v>
      </c>
      <c r="H8" s="8" t="s">
        <v>16</v>
      </c>
      <c r="I8" s="8" t="s">
        <v>15</v>
      </c>
      <c r="J8" s="8" t="s">
        <v>13</v>
      </c>
      <c r="K8" s="8" t="s">
        <v>12</v>
      </c>
      <c r="L8" s="8" t="s">
        <v>11</v>
      </c>
      <c r="M8" s="8" t="s">
        <v>9</v>
      </c>
      <c r="N8" s="8" t="s">
        <v>8</v>
      </c>
      <c r="O8" s="95" t="s">
        <v>5</v>
      </c>
      <c r="P8" s="8" t="s">
        <v>3</v>
      </c>
      <c r="Q8" s="8" t="s">
        <v>2</v>
      </c>
      <c r="R8" s="8" t="s">
        <v>1</v>
      </c>
    </row>
    <row r="9" spans="1:18" ht="15" customHeight="1">
      <c r="C9" s="93" t="s">
        <v>23</v>
      </c>
    </row>
    <row r="10" spans="1:18">
      <c r="C10" s="80" t="s">
        <v>24</v>
      </c>
    </row>
    <row r="11" spans="1:18">
      <c r="C11" s="81" t="s">
        <v>25</v>
      </c>
    </row>
    <row r="12" spans="1:18">
      <c r="C12" s="81" t="s">
        <v>26</v>
      </c>
      <c r="F12" s="8" t="s">
        <v>119</v>
      </c>
    </row>
    <row r="13" spans="1:18" ht="15" customHeight="1">
      <c r="C13" s="83" t="s">
        <v>27</v>
      </c>
    </row>
    <row r="14" spans="1:18" ht="15" customHeight="1">
      <c r="A14" s="90"/>
      <c r="B14" s="91"/>
      <c r="C14" s="84" t="s">
        <v>28</v>
      </c>
    </row>
    <row r="15" spans="1:18">
      <c r="C15" s="86" t="s">
        <v>29</v>
      </c>
    </row>
    <row r="16" spans="1:18">
      <c r="C16" s="81" t="s">
        <v>30</v>
      </c>
    </row>
    <row r="17" spans="3:3">
      <c r="C17" s="81" t="s">
        <v>31</v>
      </c>
    </row>
    <row r="18" spans="3:3">
      <c r="C18" s="113" t="s">
        <v>32</v>
      </c>
    </row>
    <row r="19" spans="3:3">
      <c r="C19" s="81" t="s">
        <v>33</v>
      </c>
    </row>
    <row r="20" spans="3:3">
      <c r="C20" s="81" t="s">
        <v>34</v>
      </c>
    </row>
    <row r="21" spans="3:3">
      <c r="C21" s="81" t="s">
        <v>35</v>
      </c>
    </row>
    <row r="22" spans="3:3">
      <c r="C22" s="81" t="s">
        <v>36</v>
      </c>
    </row>
    <row r="23" spans="3:3">
      <c r="C23" s="81" t="s">
        <v>37</v>
      </c>
    </row>
    <row r="24" spans="3:3">
      <c r="C24" s="81" t="s">
        <v>38</v>
      </c>
    </row>
    <row r="25" spans="3:3">
      <c r="C25" s="81" t="s">
        <v>39</v>
      </c>
    </row>
    <row r="26" spans="3:3">
      <c r="C26" s="81" t="s">
        <v>40</v>
      </c>
    </row>
    <row r="27" spans="3:3">
      <c r="C27" s="81" t="s">
        <v>41</v>
      </c>
    </row>
    <row r="28" spans="3:3">
      <c r="C28" s="81" t="s">
        <v>42</v>
      </c>
    </row>
    <row r="29" spans="3:3" ht="15" customHeight="1">
      <c r="C29" s="82" t="s">
        <v>43</v>
      </c>
    </row>
    <row r="30" spans="3:3" ht="15" customHeight="1">
      <c r="C30" s="84" t="s">
        <v>44</v>
      </c>
    </row>
    <row r="31" spans="3:3">
      <c r="C31" s="86" t="s">
        <v>45</v>
      </c>
    </row>
    <row r="32" spans="3:3">
      <c r="C32" s="81" t="s">
        <v>46</v>
      </c>
    </row>
    <row r="33" spans="2:21">
      <c r="C33" s="81" t="s">
        <v>47</v>
      </c>
    </row>
    <row r="34" spans="2:21">
      <c r="C34" s="81" t="s">
        <v>48</v>
      </c>
    </row>
    <row r="35" spans="2:21">
      <c r="C35" s="81" t="s">
        <v>49</v>
      </c>
    </row>
    <row r="36" spans="2:21" ht="15" customHeight="1">
      <c r="C36" s="83" t="s">
        <v>50</v>
      </c>
    </row>
    <row r="37" spans="2:21" ht="15" customHeight="1">
      <c r="C37" s="84" t="s">
        <v>51</v>
      </c>
    </row>
    <row r="38" spans="2:21">
      <c r="C38" s="86" t="s">
        <v>52</v>
      </c>
    </row>
    <row r="39" spans="2:21">
      <c r="C39" s="83" t="s">
        <v>53</v>
      </c>
    </row>
    <row r="40" spans="2:21" ht="15" customHeight="1">
      <c r="B40" s="6" t="s">
        <v>54</v>
      </c>
      <c r="C40" s="92" t="s">
        <v>55</v>
      </c>
    </row>
    <row r="41" spans="2:21" ht="15" customHeight="1">
      <c r="C41" s="84" t="s">
        <v>56</v>
      </c>
    </row>
    <row r="42" spans="2:21">
      <c r="C42" s="86" t="s">
        <v>57</v>
      </c>
      <c r="D42" s="10">
        <v>456017.5</v>
      </c>
      <c r="E42">
        <v>456017.5</v>
      </c>
      <c r="F42" s="8">
        <v>456017.5</v>
      </c>
      <c r="H42">
        <v>456017.5</v>
      </c>
      <c r="I42">
        <v>456017.5</v>
      </c>
      <c r="K42">
        <v>456017.5</v>
      </c>
      <c r="L42">
        <v>456017.51</v>
      </c>
      <c r="M42">
        <v>456017.51</v>
      </c>
      <c r="N42">
        <v>456017.51</v>
      </c>
      <c r="T42" s="79"/>
      <c r="U42" s="79"/>
    </row>
    <row r="43" spans="2:21" ht="15" customHeight="1">
      <c r="C43" s="81" t="s">
        <v>58</v>
      </c>
    </row>
    <row r="44" spans="2:21">
      <c r="C44" s="81" t="s">
        <v>59</v>
      </c>
    </row>
    <row r="45" spans="2:21" ht="15" customHeight="1">
      <c r="C45" s="83" t="s">
        <v>60</v>
      </c>
      <c r="T45" s="8"/>
    </row>
    <row r="46" spans="2:21" ht="15" customHeight="1">
      <c r="B46" s="6" t="s">
        <v>61</v>
      </c>
      <c r="C46" s="84" t="s">
        <v>62</v>
      </c>
    </row>
    <row r="47" spans="2:21">
      <c r="C47" s="85" t="s">
        <v>63</v>
      </c>
    </row>
    <row r="48" spans="2:21">
      <c r="C48" s="81" t="s">
        <v>64</v>
      </c>
    </row>
    <row r="49" spans="3:20">
      <c r="C49" s="81" t="s">
        <v>65</v>
      </c>
    </row>
    <row r="50" spans="3:20">
      <c r="C50" s="81" t="s">
        <v>66</v>
      </c>
    </row>
    <row r="51" spans="3:20">
      <c r="C51" s="81" t="s">
        <v>67</v>
      </c>
    </row>
    <row r="52" spans="3:20" ht="15" customHeight="1">
      <c r="C52" s="82" t="s">
        <v>68</v>
      </c>
    </row>
    <row r="53" spans="3:20">
      <c r="C53" s="86" t="s">
        <v>69</v>
      </c>
    </row>
    <row r="54" spans="3:20" ht="15" customHeight="1">
      <c r="C54" s="83" t="s">
        <v>70</v>
      </c>
    </row>
    <row r="55" spans="3:20" ht="15" customHeight="1">
      <c r="C55" s="87" t="s">
        <v>71</v>
      </c>
      <c r="D55" s="10">
        <f t="shared" ref="D55:R55" si="0">SUM(D9:D54)</f>
        <v>456017.5</v>
      </c>
      <c r="E55">
        <f t="shared" si="0"/>
        <v>456017.5</v>
      </c>
      <c r="F55" s="8">
        <f t="shared" si="0"/>
        <v>456017.5</v>
      </c>
      <c r="G55" s="30">
        <f t="shared" si="0"/>
        <v>0</v>
      </c>
      <c r="H55">
        <f t="shared" si="0"/>
        <v>456017.5</v>
      </c>
      <c r="I55">
        <f t="shared" si="0"/>
        <v>456017.5</v>
      </c>
      <c r="J55">
        <f t="shared" si="0"/>
        <v>0</v>
      </c>
      <c r="K55">
        <f t="shared" si="0"/>
        <v>456017.5</v>
      </c>
      <c r="L55">
        <f t="shared" si="0"/>
        <v>456017.51</v>
      </c>
      <c r="M55">
        <f t="shared" si="0"/>
        <v>456017.51</v>
      </c>
      <c r="N55">
        <f t="shared" si="0"/>
        <v>456017.51</v>
      </c>
      <c r="O55" s="95">
        <f t="shared" si="0"/>
        <v>0</v>
      </c>
      <c r="P55" s="8">
        <f t="shared" si="0"/>
        <v>0</v>
      </c>
      <c r="Q55">
        <f t="shared" si="0"/>
        <v>0</v>
      </c>
      <c r="R55">
        <f t="shared" si="0"/>
        <v>0</v>
      </c>
    </row>
    <row r="56" spans="3:20" ht="15" customHeight="1">
      <c r="D56" s="134">
        <f>SUM(D55:F55)</f>
        <v>1368052.5</v>
      </c>
      <c r="E56" s="134"/>
      <c r="F56" s="134"/>
      <c r="G56" s="135">
        <f>SUM(G55:I55)</f>
        <v>912035</v>
      </c>
      <c r="H56" s="135"/>
      <c r="I56" s="135"/>
      <c r="J56" s="136">
        <f>SUM(J55:L55)</f>
        <v>912035.01</v>
      </c>
      <c r="K56" s="136"/>
      <c r="L56" s="136"/>
      <c r="M56" s="136">
        <f>SUM(M55:O55)</f>
        <v>912035.02</v>
      </c>
      <c r="N56" s="136"/>
      <c r="O56" s="137"/>
      <c r="P56" s="136">
        <f>SUM(P55:R55)</f>
        <v>0</v>
      </c>
      <c r="Q56" s="136"/>
      <c r="R56" s="136"/>
    </row>
    <row r="57" spans="3:20">
      <c r="T57" s="30"/>
    </row>
    <row r="58" spans="3:20">
      <c r="T58" s="94"/>
    </row>
  </sheetData>
  <mergeCells count="10">
    <mergeCell ref="D7:F7"/>
    <mergeCell ref="G7:I7"/>
    <mergeCell ref="J7:L7"/>
    <mergeCell ref="M7:O7"/>
    <mergeCell ref="P7:R7"/>
    <mergeCell ref="D56:F56"/>
    <mergeCell ref="G56:I56"/>
    <mergeCell ref="J56:L56"/>
    <mergeCell ref="M56:O56"/>
    <mergeCell ref="P56:R56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F5FE-1355-4BC3-966B-E336F85ADE1F}">
  <dimension ref="B2:G51"/>
  <sheetViews>
    <sheetView topLeftCell="B1" workbookViewId="0">
      <selection activeCell="E13" sqref="E13"/>
    </sheetView>
  </sheetViews>
  <sheetFormatPr baseColWidth="10" defaultColWidth="11.44140625" defaultRowHeight="14.4"/>
  <cols>
    <col min="1" max="1" width="11.44140625" customWidth="1"/>
    <col min="2" max="2" width="10.88671875" style="5" customWidth="1"/>
    <col min="3" max="3" width="51.109375" customWidth="1"/>
    <col min="4" max="4" width="12.33203125" style="10" bestFit="1" customWidth="1"/>
    <col min="5" max="5" width="12.33203125" bestFit="1" customWidth="1"/>
    <col min="6" max="6" width="12.33203125" style="8" customWidth="1"/>
    <col min="7" max="7" width="10.88671875" style="30" customWidth="1"/>
  </cols>
  <sheetData>
    <row r="2" spans="2:7">
      <c r="C2" s="30" t="s">
        <v>0</v>
      </c>
      <c r="D2" s="30"/>
      <c r="E2" s="30"/>
      <c r="F2" s="30"/>
    </row>
    <row r="3" spans="2:7" ht="15" customHeight="1"/>
    <row r="4" spans="2:7" s="8" customFormat="1">
      <c r="B4" s="8" t="s">
        <v>6</v>
      </c>
      <c r="C4" s="23" t="s">
        <v>72</v>
      </c>
      <c r="D4" s="31" t="s">
        <v>73</v>
      </c>
      <c r="E4" s="32" t="s">
        <v>74</v>
      </c>
      <c r="F4" s="41" t="s">
        <v>75</v>
      </c>
      <c r="G4" s="33" t="s">
        <v>76</v>
      </c>
    </row>
    <row r="5" spans="2:7" ht="15" customHeight="1">
      <c r="C5" s="24" t="s">
        <v>23</v>
      </c>
      <c r="D5" s="16"/>
      <c r="E5" s="17"/>
      <c r="F5" s="47"/>
      <c r="G5" s="35"/>
    </row>
    <row r="6" spans="2:7">
      <c r="C6" s="11" t="s">
        <v>24</v>
      </c>
      <c r="D6" s="12"/>
      <c r="E6" s="18"/>
      <c r="F6" s="48"/>
      <c r="G6" s="33"/>
    </row>
    <row r="7" spans="2:7">
      <c r="C7" s="14" t="s">
        <v>25</v>
      </c>
      <c r="D7" s="9"/>
      <c r="E7" s="7"/>
      <c r="F7" s="49"/>
      <c r="G7" s="36"/>
    </row>
    <row r="8" spans="2:7">
      <c r="C8" s="14" t="s">
        <v>26</v>
      </c>
      <c r="D8" s="9"/>
      <c r="E8" s="7"/>
      <c r="F8" s="49"/>
      <c r="G8" s="36"/>
    </row>
    <row r="9" spans="2:7" ht="15" customHeight="1">
      <c r="C9" s="15" t="s">
        <v>27</v>
      </c>
      <c r="D9" s="16"/>
      <c r="E9" s="17"/>
      <c r="F9" s="47"/>
      <c r="G9" s="35"/>
    </row>
    <row r="10" spans="2:7" ht="15" customHeight="1">
      <c r="C10" s="11" t="s">
        <v>28</v>
      </c>
      <c r="D10" s="12"/>
      <c r="E10" s="44">
        <f>SUM(D11:D25)</f>
        <v>3500</v>
      </c>
      <c r="F10" s="55">
        <f>SUM(F11:F25)</f>
        <v>91.428571428571445</v>
      </c>
      <c r="G10" s="52">
        <f>(E10/E51)*100</f>
        <v>0.57306747892487031</v>
      </c>
    </row>
    <row r="11" spans="2:7">
      <c r="C11" s="14" t="s">
        <v>29</v>
      </c>
      <c r="D11" s="9"/>
      <c r="E11" s="43"/>
      <c r="F11" s="56"/>
      <c r="G11" s="53"/>
    </row>
    <row r="12" spans="2:7">
      <c r="C12" s="14" t="s">
        <v>30</v>
      </c>
      <c r="D12" s="9">
        <v>300</v>
      </c>
      <c r="E12" s="43"/>
      <c r="F12" s="56"/>
      <c r="G12" s="53"/>
    </row>
    <row r="13" spans="2:7">
      <c r="C13" s="14" t="s">
        <v>31</v>
      </c>
      <c r="D13" s="9"/>
      <c r="E13" s="43"/>
      <c r="F13" s="56"/>
      <c r="G13" s="53"/>
    </row>
    <row r="14" spans="2:7">
      <c r="C14" s="14" t="s">
        <v>32</v>
      </c>
      <c r="D14" s="9"/>
      <c r="E14" s="43"/>
      <c r="F14" s="57">
        <f>D14/E10*100</f>
        <v>0</v>
      </c>
      <c r="G14" s="53"/>
    </row>
    <row r="15" spans="2:7">
      <c r="C15" s="14" t="s">
        <v>33</v>
      </c>
      <c r="D15" s="9"/>
      <c r="E15" s="43"/>
      <c r="F15" s="56"/>
      <c r="G15" s="53"/>
    </row>
    <row r="16" spans="2:7">
      <c r="C16" s="14" t="s">
        <v>34</v>
      </c>
      <c r="D16" s="9"/>
      <c r="E16" s="43"/>
      <c r="F16" s="56"/>
      <c r="G16" s="53"/>
    </row>
    <row r="17" spans="3:7">
      <c r="C17" s="14" t="s">
        <v>35</v>
      </c>
      <c r="D17" s="9"/>
      <c r="E17" s="43"/>
      <c r="F17" s="56"/>
      <c r="G17" s="53"/>
    </row>
    <row r="18" spans="3:7">
      <c r="C18" s="14" t="s">
        <v>36</v>
      </c>
      <c r="D18" s="9">
        <v>450</v>
      </c>
      <c r="E18" s="43"/>
      <c r="F18" s="57">
        <f>D18/E10*100</f>
        <v>12.857142857142856</v>
      </c>
      <c r="G18" s="53"/>
    </row>
    <row r="19" spans="3:7">
      <c r="C19" s="14" t="s">
        <v>37</v>
      </c>
      <c r="D19" s="9">
        <v>2250</v>
      </c>
      <c r="E19" s="43"/>
      <c r="F19" s="57">
        <f>D19/E10*100</f>
        <v>64.285714285714292</v>
      </c>
      <c r="G19" s="53"/>
    </row>
    <row r="20" spans="3:7">
      <c r="C20" s="14" t="s">
        <v>38</v>
      </c>
      <c r="D20" s="9"/>
      <c r="E20" s="43"/>
      <c r="F20" s="56"/>
      <c r="G20" s="53"/>
    </row>
    <row r="21" spans="3:7">
      <c r="C21" s="14" t="s">
        <v>39</v>
      </c>
      <c r="D21" s="9"/>
      <c r="E21" s="43"/>
      <c r="F21" s="56"/>
      <c r="G21" s="53"/>
    </row>
    <row r="22" spans="3:7">
      <c r="C22" s="14" t="s">
        <v>40</v>
      </c>
      <c r="D22" s="9">
        <v>500</v>
      </c>
      <c r="E22" s="43"/>
      <c r="F22" s="57">
        <f>D22/E10*100</f>
        <v>14.285714285714285</v>
      </c>
      <c r="G22" s="53"/>
    </row>
    <row r="23" spans="3:7">
      <c r="C23" s="14" t="s">
        <v>41</v>
      </c>
      <c r="D23" s="9"/>
      <c r="E23" s="43"/>
      <c r="F23" s="56"/>
      <c r="G23" s="53"/>
    </row>
    <row r="24" spans="3:7">
      <c r="C24" s="14" t="s">
        <v>42</v>
      </c>
      <c r="D24" s="9"/>
      <c r="E24" s="43"/>
      <c r="F24" s="56"/>
      <c r="G24" s="53"/>
    </row>
    <row r="25" spans="3:7" ht="15" customHeight="1">
      <c r="C25" s="15" t="s">
        <v>43</v>
      </c>
      <c r="D25" s="16"/>
      <c r="E25" s="42"/>
      <c r="F25" s="58"/>
      <c r="G25" s="54"/>
    </row>
    <row r="26" spans="3:7">
      <c r="C26" s="11" t="s">
        <v>44</v>
      </c>
      <c r="D26" s="12"/>
      <c r="E26" s="13"/>
      <c r="F26" s="59" t="e">
        <f>SUM(F27:F32)</f>
        <v>#DIV/0!</v>
      </c>
      <c r="G26" s="37">
        <f>(E26/E51)*100</f>
        <v>0</v>
      </c>
    </row>
    <row r="27" spans="3:7">
      <c r="C27" s="14" t="s">
        <v>45</v>
      </c>
      <c r="D27" s="9"/>
      <c r="E27" s="7"/>
      <c r="F27" s="49"/>
      <c r="G27" s="36"/>
    </row>
    <row r="28" spans="3:7">
      <c r="C28" s="14" t="s">
        <v>77</v>
      </c>
      <c r="D28" s="9"/>
      <c r="E28" s="7"/>
      <c r="F28" s="49" t="e">
        <f>D28/E26*100</f>
        <v>#DIV/0!</v>
      </c>
      <c r="G28" s="36"/>
    </row>
    <row r="29" spans="3:7">
      <c r="C29" s="14" t="s">
        <v>78</v>
      </c>
      <c r="D29" s="9"/>
      <c r="E29" s="7"/>
      <c r="F29" s="49" t="e">
        <f>D29/E26*100</f>
        <v>#DIV/0!</v>
      </c>
      <c r="G29" s="36"/>
    </row>
    <row r="30" spans="3:7">
      <c r="C30" s="14" t="s">
        <v>48</v>
      </c>
      <c r="D30" s="9"/>
      <c r="E30" s="7"/>
      <c r="F30" s="49"/>
      <c r="G30" s="36"/>
    </row>
    <row r="31" spans="3:7">
      <c r="C31" s="14" t="s">
        <v>49</v>
      </c>
      <c r="D31" s="9"/>
      <c r="E31" s="7"/>
      <c r="F31" s="49"/>
      <c r="G31" s="36"/>
    </row>
    <row r="32" spans="3:7" ht="15" customHeight="1">
      <c r="C32" s="15" t="s">
        <v>50</v>
      </c>
      <c r="D32" s="16"/>
      <c r="E32" s="17"/>
      <c r="F32" s="47"/>
      <c r="G32" s="35"/>
    </row>
    <row r="33" spans="2:7">
      <c r="C33" s="11" t="s">
        <v>51</v>
      </c>
      <c r="D33" s="12"/>
      <c r="E33" s="18"/>
      <c r="F33" s="48"/>
      <c r="G33" s="33"/>
    </row>
    <row r="34" spans="2:7">
      <c r="C34" s="14" t="s">
        <v>52</v>
      </c>
      <c r="D34" s="9"/>
      <c r="E34" s="7"/>
      <c r="F34" s="49"/>
      <c r="G34" s="36"/>
    </row>
    <row r="35" spans="2:7" ht="15" customHeight="1">
      <c r="C35" s="15" t="s">
        <v>53</v>
      </c>
      <c r="D35" s="16"/>
      <c r="E35" s="17"/>
      <c r="F35" s="47"/>
      <c r="G35" s="35"/>
    </row>
    <row r="36" spans="2:7" ht="15" customHeight="1">
      <c r="B36" s="6" t="s">
        <v>54</v>
      </c>
      <c r="C36" s="19" t="s">
        <v>55</v>
      </c>
      <c r="D36" s="20"/>
      <c r="E36" s="21"/>
      <c r="F36" s="34"/>
      <c r="G36" s="38"/>
    </row>
    <row r="37" spans="2:7">
      <c r="C37" s="11" t="s">
        <v>56</v>
      </c>
      <c r="D37" s="12"/>
      <c r="E37" s="13">
        <f>SUM(D38:D41)</f>
        <v>607248.32000000007</v>
      </c>
      <c r="F37" s="46"/>
      <c r="G37" s="37">
        <f>E37/E51*100</f>
        <v>99.42693252107513</v>
      </c>
    </row>
    <row r="38" spans="2:7">
      <c r="C38" s="14" t="s">
        <v>57</v>
      </c>
      <c r="D38" s="9">
        <v>456017.5</v>
      </c>
      <c r="E38" s="7"/>
      <c r="F38" s="49"/>
      <c r="G38" s="36"/>
    </row>
    <row r="39" spans="2:7">
      <c r="C39" s="14" t="s">
        <v>58</v>
      </c>
      <c r="D39" s="10">
        <v>151230.82</v>
      </c>
      <c r="E39" s="7"/>
      <c r="F39" s="49"/>
      <c r="G39" s="36"/>
    </row>
    <row r="40" spans="2:7">
      <c r="C40" s="14" t="s">
        <v>59</v>
      </c>
      <c r="D40" s="9"/>
      <c r="E40" s="7"/>
      <c r="F40" s="49"/>
      <c r="G40" s="36"/>
    </row>
    <row r="41" spans="2:7" ht="15" customHeight="1">
      <c r="C41" s="15" t="s">
        <v>60</v>
      </c>
      <c r="D41" s="16"/>
      <c r="E41" s="17"/>
      <c r="F41" s="47"/>
      <c r="G41" s="35"/>
    </row>
    <row r="42" spans="2:7" ht="15" customHeight="1">
      <c r="B42" s="6" t="s">
        <v>61</v>
      </c>
      <c r="C42" s="19" t="s">
        <v>62</v>
      </c>
      <c r="D42" s="22"/>
      <c r="E42" s="21"/>
      <c r="F42" s="34"/>
      <c r="G42" s="38"/>
    </row>
    <row r="43" spans="2:7">
      <c r="C43" s="11" t="s">
        <v>63</v>
      </c>
      <c r="D43" s="12"/>
      <c r="E43" s="25"/>
      <c r="F43" s="50"/>
      <c r="G43" s="37">
        <f>E43/E51*100</f>
        <v>0</v>
      </c>
    </row>
    <row r="44" spans="2:7">
      <c r="C44" s="14" t="s">
        <v>64</v>
      </c>
      <c r="D44" s="9"/>
      <c r="E44" s="7"/>
      <c r="F44" s="49"/>
      <c r="G44" s="36"/>
    </row>
    <row r="45" spans="2:7">
      <c r="C45" s="14" t="s">
        <v>65</v>
      </c>
      <c r="D45" s="9"/>
      <c r="E45" s="7"/>
      <c r="F45" s="49"/>
      <c r="G45" s="36"/>
    </row>
    <row r="46" spans="2:7">
      <c r="C46" s="14" t="s">
        <v>66</v>
      </c>
      <c r="D46" s="9"/>
      <c r="E46" s="7"/>
      <c r="F46" s="49"/>
      <c r="G46" s="36"/>
    </row>
    <row r="47" spans="2:7">
      <c r="C47" s="14" t="s">
        <v>67</v>
      </c>
      <c r="D47" s="9"/>
      <c r="E47" s="7"/>
      <c r="F47" s="49"/>
      <c r="G47" s="36"/>
    </row>
    <row r="48" spans="2:7" ht="15" customHeight="1">
      <c r="C48" s="15" t="s">
        <v>68</v>
      </c>
      <c r="D48" s="16"/>
      <c r="E48" s="17"/>
      <c r="F48" s="47"/>
      <c r="G48" s="35"/>
    </row>
    <row r="49" spans="3:7">
      <c r="C49" s="26" t="s">
        <v>69</v>
      </c>
      <c r="D49" s="12"/>
      <c r="E49" s="18"/>
      <c r="F49" s="48"/>
      <c r="G49" s="33"/>
    </row>
    <row r="50" spans="3:7" ht="15" customHeight="1">
      <c r="C50" s="27" t="s">
        <v>70</v>
      </c>
      <c r="D50" s="89"/>
      <c r="E50" s="28"/>
      <c r="F50" s="51"/>
      <c r="G50" s="39"/>
    </row>
    <row r="51" spans="3:7" ht="15" customHeight="1">
      <c r="C51" s="60" t="s">
        <v>71</v>
      </c>
      <c r="D51" s="65"/>
      <c r="E51" s="29">
        <f>SUM(E6:E50)</f>
        <v>610748.32000000007</v>
      </c>
      <c r="F51" s="45"/>
      <c r="G51" s="40">
        <f>SUM(G6:G50)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04B9-75BB-45B7-A763-E4DDA9B86219}">
  <dimension ref="B2:G51"/>
  <sheetViews>
    <sheetView workbookViewId="0">
      <selection activeCell="I20" sqref="I20"/>
    </sheetView>
  </sheetViews>
  <sheetFormatPr baseColWidth="10" defaultColWidth="11.44140625" defaultRowHeight="14.4"/>
  <cols>
    <col min="1" max="1" width="11.44140625" customWidth="1"/>
    <col min="2" max="2" width="10.88671875" style="5" customWidth="1"/>
    <col min="3" max="3" width="51.109375" customWidth="1"/>
    <col min="4" max="4" width="12.33203125" style="10" bestFit="1" customWidth="1"/>
    <col min="5" max="5" width="12.33203125" bestFit="1" customWidth="1"/>
    <col min="6" max="6" width="12.33203125" style="8" customWidth="1"/>
    <col min="7" max="7" width="10.88671875" style="30" customWidth="1"/>
  </cols>
  <sheetData>
    <row r="2" spans="2:7">
      <c r="C2" s="30" t="s">
        <v>0</v>
      </c>
      <c r="D2" s="30"/>
      <c r="E2" s="30"/>
      <c r="F2" s="30"/>
    </row>
    <row r="3" spans="2:7" ht="15" customHeight="1"/>
    <row r="4" spans="2:7" s="8" customFormat="1">
      <c r="B4" s="8" t="s">
        <v>6</v>
      </c>
      <c r="C4" s="23" t="s">
        <v>72</v>
      </c>
      <c r="D4" s="31" t="s">
        <v>73</v>
      </c>
      <c r="E4" s="32" t="s">
        <v>74</v>
      </c>
      <c r="F4" s="41" t="s">
        <v>75</v>
      </c>
      <c r="G4" s="33" t="s">
        <v>76</v>
      </c>
    </row>
    <row r="5" spans="2:7" ht="15" customHeight="1">
      <c r="C5" s="24" t="s">
        <v>23</v>
      </c>
      <c r="D5" s="16"/>
      <c r="E5" s="17"/>
      <c r="F5" s="47"/>
      <c r="G5" s="35"/>
    </row>
    <row r="6" spans="2:7">
      <c r="C6" s="11" t="s">
        <v>24</v>
      </c>
      <c r="D6" s="12"/>
      <c r="E6" s="18"/>
      <c r="F6" s="48"/>
      <c r="G6" s="33"/>
    </row>
    <row r="7" spans="2:7">
      <c r="C7" s="14" t="s">
        <v>25</v>
      </c>
      <c r="D7" s="9"/>
      <c r="E7" s="7"/>
      <c r="F7" s="49"/>
      <c r="G7" s="36"/>
    </row>
    <row r="8" spans="2:7">
      <c r="C8" s="14" t="s">
        <v>26</v>
      </c>
      <c r="D8" s="9"/>
      <c r="E8" s="7"/>
      <c r="F8" s="49"/>
      <c r="G8" s="36"/>
    </row>
    <row r="9" spans="2:7" ht="15" customHeight="1">
      <c r="C9" s="15" t="s">
        <v>27</v>
      </c>
      <c r="D9" s="16"/>
      <c r="E9" s="17"/>
      <c r="F9" s="47"/>
      <c r="G9" s="35"/>
    </row>
    <row r="10" spans="2:7" ht="15" customHeight="1">
      <c r="C10" s="11" t="s">
        <v>28</v>
      </c>
      <c r="D10" s="12"/>
      <c r="E10" s="44">
        <f>SUM(D11:D25)</f>
        <v>2200</v>
      </c>
      <c r="F10" s="55">
        <f>SUM(F11:F25)</f>
        <v>86.36363636363636</v>
      </c>
      <c r="G10" s="52">
        <f>(E10/E51)*100</f>
        <v>0.36098220764641697</v>
      </c>
    </row>
    <row r="11" spans="2:7">
      <c r="C11" s="14" t="s">
        <v>29</v>
      </c>
      <c r="D11" s="9"/>
      <c r="E11" s="43"/>
      <c r="F11" s="56"/>
      <c r="G11" s="53"/>
    </row>
    <row r="12" spans="2:7">
      <c r="C12" s="14" t="s">
        <v>30</v>
      </c>
      <c r="D12" s="9">
        <v>300</v>
      </c>
      <c r="E12" s="43"/>
      <c r="F12" s="56"/>
      <c r="G12" s="53"/>
    </row>
    <row r="13" spans="2:7">
      <c r="C13" s="14" t="s">
        <v>31</v>
      </c>
      <c r="D13" s="9"/>
      <c r="E13" s="43"/>
      <c r="F13" s="56"/>
      <c r="G13" s="53"/>
    </row>
    <row r="14" spans="2:7">
      <c r="C14" s="14" t="s">
        <v>32</v>
      </c>
      <c r="D14" s="9"/>
      <c r="E14" s="43"/>
      <c r="F14" s="57">
        <f>D14/E10*100</f>
        <v>0</v>
      </c>
      <c r="G14" s="53"/>
    </row>
    <row r="15" spans="2:7">
      <c r="C15" s="14" t="s">
        <v>33</v>
      </c>
      <c r="D15" s="9"/>
      <c r="E15" s="43"/>
      <c r="F15" s="56"/>
      <c r="G15" s="53"/>
    </row>
    <row r="16" spans="2:7">
      <c r="C16" s="14" t="s">
        <v>34</v>
      </c>
      <c r="D16" s="9"/>
      <c r="E16" s="43"/>
      <c r="F16" s="56"/>
      <c r="G16" s="53"/>
    </row>
    <row r="17" spans="3:7">
      <c r="C17" s="14" t="s">
        <v>35</v>
      </c>
      <c r="D17" s="9"/>
      <c r="E17" s="43"/>
      <c r="F17" s="56"/>
      <c r="G17" s="53"/>
    </row>
    <row r="18" spans="3:7">
      <c r="C18" s="14" t="s">
        <v>36</v>
      </c>
      <c r="D18" s="9"/>
      <c r="E18" s="43"/>
      <c r="F18" s="57">
        <f>D18/E10*100</f>
        <v>0</v>
      </c>
      <c r="G18" s="53"/>
    </row>
    <row r="19" spans="3:7">
      <c r="C19" s="14" t="s">
        <v>37</v>
      </c>
      <c r="D19" s="9">
        <v>1900</v>
      </c>
      <c r="E19" s="43"/>
      <c r="F19" s="57">
        <f>D19/E10*100</f>
        <v>86.36363636363636</v>
      </c>
      <c r="G19" s="53"/>
    </row>
    <row r="20" spans="3:7">
      <c r="C20" s="14" t="s">
        <v>38</v>
      </c>
      <c r="D20" s="9"/>
      <c r="E20" s="43"/>
      <c r="F20" s="56"/>
      <c r="G20" s="53"/>
    </row>
    <row r="21" spans="3:7">
      <c r="C21" s="14" t="s">
        <v>39</v>
      </c>
      <c r="D21" s="9"/>
      <c r="E21" s="43"/>
      <c r="F21" s="56"/>
      <c r="G21" s="53"/>
    </row>
    <row r="22" spans="3:7">
      <c r="C22" s="14" t="s">
        <v>40</v>
      </c>
      <c r="D22" s="9"/>
      <c r="E22" s="43"/>
      <c r="F22" s="57">
        <f>D22/E10*100</f>
        <v>0</v>
      </c>
      <c r="G22" s="53"/>
    </row>
    <row r="23" spans="3:7">
      <c r="C23" s="14" t="s">
        <v>41</v>
      </c>
      <c r="D23" s="9"/>
      <c r="E23" s="43"/>
      <c r="F23" s="56"/>
      <c r="G23" s="53"/>
    </row>
    <row r="24" spans="3:7">
      <c r="C24" s="14" t="s">
        <v>42</v>
      </c>
      <c r="D24" s="9"/>
      <c r="E24" s="43"/>
      <c r="F24" s="56"/>
      <c r="G24" s="53"/>
    </row>
    <row r="25" spans="3:7" ht="15" customHeight="1">
      <c r="C25" s="15" t="s">
        <v>43</v>
      </c>
      <c r="D25" s="16"/>
      <c r="E25" s="42"/>
      <c r="F25" s="58"/>
      <c r="G25" s="54"/>
    </row>
    <row r="26" spans="3:7">
      <c r="C26" s="11" t="s">
        <v>44</v>
      </c>
      <c r="D26" s="12"/>
      <c r="E26" s="13"/>
      <c r="F26" s="59" t="e">
        <f>SUM(F27:F32)</f>
        <v>#DIV/0!</v>
      </c>
      <c r="G26" s="37">
        <f>(E26/E51)*100</f>
        <v>0</v>
      </c>
    </row>
    <row r="27" spans="3:7">
      <c r="C27" s="14" t="s">
        <v>45</v>
      </c>
      <c r="D27" s="9"/>
      <c r="E27" s="7"/>
      <c r="F27" s="49"/>
      <c r="G27" s="36"/>
    </row>
    <row r="28" spans="3:7">
      <c r="C28" s="14" t="s">
        <v>77</v>
      </c>
      <c r="D28" s="9"/>
      <c r="E28" s="7"/>
      <c r="F28" s="49" t="e">
        <f>D28/E26*100</f>
        <v>#DIV/0!</v>
      </c>
      <c r="G28" s="36"/>
    </row>
    <row r="29" spans="3:7">
      <c r="C29" s="14" t="s">
        <v>78</v>
      </c>
      <c r="D29" s="9"/>
      <c r="E29" s="7"/>
      <c r="F29" s="49" t="e">
        <f>D29/E26*100</f>
        <v>#DIV/0!</v>
      </c>
      <c r="G29" s="36"/>
    </row>
    <row r="30" spans="3:7">
      <c r="C30" s="14" t="s">
        <v>48</v>
      </c>
      <c r="D30" s="9"/>
      <c r="E30" s="7"/>
      <c r="F30" s="49"/>
      <c r="G30" s="36"/>
    </row>
    <row r="31" spans="3:7">
      <c r="C31" s="14" t="s">
        <v>49</v>
      </c>
      <c r="D31" s="9"/>
      <c r="E31" s="7"/>
      <c r="F31" s="49"/>
      <c r="G31" s="36"/>
    </row>
    <row r="32" spans="3:7" ht="15" customHeight="1">
      <c r="C32" s="15" t="s">
        <v>50</v>
      </c>
      <c r="D32" s="16"/>
      <c r="E32" s="17"/>
      <c r="F32" s="47"/>
      <c r="G32" s="35"/>
    </row>
    <row r="33" spans="2:7">
      <c r="C33" s="11" t="s">
        <v>51</v>
      </c>
      <c r="D33" s="12"/>
      <c r="E33" s="18"/>
      <c r="F33" s="48"/>
      <c r="G33" s="33"/>
    </row>
    <row r="34" spans="2:7">
      <c r="C34" s="14" t="s">
        <v>52</v>
      </c>
      <c r="D34" s="9"/>
      <c r="E34" s="7"/>
      <c r="F34" s="49"/>
      <c r="G34" s="36"/>
    </row>
    <row r="35" spans="2:7" ht="15" customHeight="1">
      <c r="C35" s="15" t="s">
        <v>53</v>
      </c>
      <c r="D35" s="16"/>
      <c r="E35" s="17"/>
      <c r="F35" s="47"/>
      <c r="G35" s="35"/>
    </row>
    <row r="36" spans="2:7" ht="15" customHeight="1">
      <c r="B36" s="6" t="s">
        <v>54</v>
      </c>
      <c r="C36" s="19" t="s">
        <v>55</v>
      </c>
      <c r="D36" s="20"/>
      <c r="E36" s="21"/>
      <c r="F36" s="34"/>
      <c r="G36" s="38"/>
    </row>
    <row r="37" spans="2:7">
      <c r="C37" s="11" t="s">
        <v>56</v>
      </c>
      <c r="D37" s="12"/>
      <c r="E37" s="13">
        <f>SUM(D38:D41)</f>
        <v>607248.32000000007</v>
      </c>
      <c r="F37" s="46"/>
      <c r="G37" s="37">
        <f>E37/E51*100</f>
        <v>99.639017792353584</v>
      </c>
    </row>
    <row r="38" spans="2:7">
      <c r="C38" s="14" t="s">
        <v>57</v>
      </c>
      <c r="D38" s="9">
        <v>456017.5</v>
      </c>
      <c r="E38" s="7"/>
      <c r="F38" s="49"/>
      <c r="G38" s="36"/>
    </row>
    <row r="39" spans="2:7">
      <c r="C39" s="14" t="s">
        <v>58</v>
      </c>
      <c r="D39" s="10">
        <v>151230.82</v>
      </c>
      <c r="E39" s="7"/>
      <c r="F39" s="49"/>
      <c r="G39" s="36"/>
    </row>
    <row r="40" spans="2:7">
      <c r="C40" s="14" t="s">
        <v>59</v>
      </c>
      <c r="D40" s="9"/>
      <c r="E40" s="7"/>
      <c r="F40" s="49"/>
      <c r="G40" s="36"/>
    </row>
    <row r="41" spans="2:7" ht="15" customHeight="1">
      <c r="C41" s="15" t="s">
        <v>60</v>
      </c>
      <c r="D41" s="16"/>
      <c r="E41" s="17"/>
      <c r="F41" s="47"/>
      <c r="G41" s="35"/>
    </row>
    <row r="42" spans="2:7" ht="15" customHeight="1">
      <c r="B42" s="6" t="s">
        <v>61</v>
      </c>
      <c r="C42" s="19" t="s">
        <v>62</v>
      </c>
      <c r="D42" s="22"/>
      <c r="E42" s="21"/>
      <c r="F42" s="34"/>
      <c r="G42" s="38"/>
    </row>
    <row r="43" spans="2:7">
      <c r="C43" s="11" t="s">
        <v>63</v>
      </c>
      <c r="D43" s="12"/>
      <c r="E43" s="25"/>
      <c r="F43" s="50"/>
      <c r="G43" s="37">
        <f>E43/E51*100</f>
        <v>0</v>
      </c>
    </row>
    <row r="44" spans="2:7">
      <c r="C44" s="14" t="s">
        <v>64</v>
      </c>
      <c r="D44" s="9"/>
      <c r="E44" s="7"/>
      <c r="F44" s="49"/>
      <c r="G44" s="36"/>
    </row>
    <row r="45" spans="2:7">
      <c r="C45" s="14" t="s">
        <v>65</v>
      </c>
      <c r="D45" s="9"/>
      <c r="E45" s="7"/>
      <c r="F45" s="49"/>
      <c r="G45" s="36"/>
    </row>
    <row r="46" spans="2:7">
      <c r="C46" s="14" t="s">
        <v>66</v>
      </c>
      <c r="D46" s="9"/>
      <c r="E46" s="7"/>
      <c r="F46" s="49"/>
      <c r="G46" s="36"/>
    </row>
    <row r="47" spans="2:7">
      <c r="C47" s="14" t="s">
        <v>67</v>
      </c>
      <c r="D47" s="9"/>
      <c r="E47" s="7"/>
      <c r="F47" s="49"/>
      <c r="G47" s="36"/>
    </row>
    <row r="48" spans="2:7" ht="15" customHeight="1">
      <c r="C48" s="15" t="s">
        <v>68</v>
      </c>
      <c r="D48" s="16"/>
      <c r="E48" s="17"/>
      <c r="F48" s="47"/>
      <c r="G48" s="35"/>
    </row>
    <row r="49" spans="3:7">
      <c r="C49" s="26" t="s">
        <v>69</v>
      </c>
      <c r="D49" s="12"/>
      <c r="E49" s="18"/>
      <c r="F49" s="48"/>
      <c r="G49" s="33"/>
    </row>
    <row r="50" spans="3:7" ht="15" customHeight="1">
      <c r="C50" s="27" t="s">
        <v>70</v>
      </c>
      <c r="D50" s="89"/>
      <c r="E50" s="28"/>
      <c r="F50" s="51"/>
      <c r="G50" s="39"/>
    </row>
    <row r="51" spans="3:7" ht="15" customHeight="1">
      <c r="C51" s="60" t="s">
        <v>71</v>
      </c>
      <c r="D51" s="65"/>
      <c r="E51" s="29">
        <f>SUM(E6:E50)</f>
        <v>609448.32000000007</v>
      </c>
      <c r="F51" s="45"/>
      <c r="G51" s="40">
        <f>SUM(G6:G50)</f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DDB9-4017-45E6-B7D1-E6FA9322C9A6}">
  <dimension ref="B2:G51"/>
  <sheetViews>
    <sheetView topLeftCell="A43" workbookViewId="0">
      <selection sqref="A1 A1:XFD1048576"/>
    </sheetView>
  </sheetViews>
  <sheetFormatPr baseColWidth="10" defaultColWidth="11.44140625" defaultRowHeight="14.4"/>
  <cols>
    <col min="1" max="1" width="11.44140625" customWidth="1"/>
    <col min="2" max="2" width="10.88671875" style="5" customWidth="1"/>
    <col min="3" max="3" width="51.109375" customWidth="1"/>
    <col min="4" max="4" width="12.33203125" style="10" bestFit="1" customWidth="1"/>
    <col min="5" max="5" width="12.33203125" bestFit="1" customWidth="1"/>
    <col min="6" max="6" width="12.33203125" style="8" customWidth="1"/>
    <col min="7" max="7" width="10.88671875" style="30" customWidth="1"/>
  </cols>
  <sheetData>
    <row r="2" spans="2:7">
      <c r="C2" s="30" t="s">
        <v>0</v>
      </c>
      <c r="D2" s="30"/>
      <c r="E2" s="30"/>
      <c r="F2" s="30"/>
    </row>
    <row r="3" spans="2:7" ht="15" customHeight="1"/>
    <row r="4" spans="2:7" s="8" customFormat="1">
      <c r="B4" s="8" t="s">
        <v>6</v>
      </c>
      <c r="C4" s="23" t="s">
        <v>72</v>
      </c>
      <c r="D4" s="31" t="s">
        <v>73</v>
      </c>
      <c r="E4" s="32" t="s">
        <v>74</v>
      </c>
      <c r="F4" s="41" t="s">
        <v>75</v>
      </c>
      <c r="G4" s="33" t="s">
        <v>76</v>
      </c>
    </row>
    <row r="5" spans="2:7" ht="15" customHeight="1">
      <c r="C5" s="24" t="s">
        <v>23</v>
      </c>
      <c r="D5" s="16"/>
      <c r="E5" s="17"/>
      <c r="F5" s="47"/>
      <c r="G5" s="35"/>
    </row>
    <row r="6" spans="2:7">
      <c r="C6" s="11" t="s">
        <v>24</v>
      </c>
      <c r="D6" s="12"/>
      <c r="E6" s="13">
        <f>SUM(D7:D9)</f>
        <v>1743</v>
      </c>
      <c r="F6" s="48"/>
      <c r="G6" s="33"/>
    </row>
    <row r="7" spans="2:7">
      <c r="C7" s="14" t="s">
        <v>25</v>
      </c>
      <c r="D7" s="9"/>
      <c r="E7" s="7"/>
      <c r="F7" s="49"/>
      <c r="G7" s="36"/>
    </row>
    <row r="8" spans="2:7">
      <c r="C8" s="14" t="s">
        <v>26</v>
      </c>
      <c r="D8" s="9">
        <v>1743</v>
      </c>
      <c r="E8" s="7"/>
      <c r="F8" s="49"/>
      <c r="G8" s="36"/>
    </row>
    <row r="9" spans="2:7" ht="15" customHeight="1">
      <c r="C9" s="15" t="s">
        <v>27</v>
      </c>
      <c r="D9" s="16"/>
      <c r="E9" s="17"/>
      <c r="F9" s="47"/>
      <c r="G9" s="35"/>
    </row>
    <row r="10" spans="2:7" ht="15" customHeight="1">
      <c r="C10" s="11" t="s">
        <v>28</v>
      </c>
      <c r="D10" s="12"/>
      <c r="E10" s="44">
        <f>SUM(D11:D25)</f>
        <v>6300</v>
      </c>
      <c r="F10" s="55">
        <f>SUM(F11:F25)</f>
        <v>95.238095238095241</v>
      </c>
      <c r="G10" s="52">
        <f>(E10/E51)*100</f>
        <v>1.0239052291522655</v>
      </c>
    </row>
    <row r="11" spans="2:7">
      <c r="C11" s="14" t="s">
        <v>29</v>
      </c>
      <c r="D11" s="9"/>
      <c r="E11" s="43"/>
      <c r="F11" s="56"/>
      <c r="G11" s="53"/>
    </row>
    <row r="12" spans="2:7">
      <c r="C12" s="14" t="s">
        <v>30</v>
      </c>
      <c r="D12" s="9">
        <v>300</v>
      </c>
      <c r="E12" s="43"/>
      <c r="F12" s="56"/>
      <c r="G12" s="53"/>
    </row>
    <row r="13" spans="2:7">
      <c r="C13" s="14" t="s">
        <v>31</v>
      </c>
      <c r="D13" s="9"/>
      <c r="E13" s="43"/>
      <c r="F13" s="56"/>
      <c r="G13" s="53"/>
    </row>
    <row r="14" spans="2:7">
      <c r="C14" s="14" t="s">
        <v>32</v>
      </c>
      <c r="D14" s="9"/>
      <c r="E14" s="43"/>
      <c r="F14" s="57">
        <f>D14/E10*100</f>
        <v>0</v>
      </c>
      <c r="G14" s="53"/>
    </row>
    <row r="15" spans="2:7">
      <c r="C15" s="14" t="s">
        <v>33</v>
      </c>
      <c r="D15" s="9"/>
      <c r="E15" s="43"/>
      <c r="F15" s="56"/>
      <c r="G15" s="53"/>
    </row>
    <row r="16" spans="2:7">
      <c r="C16" s="14" t="s">
        <v>34</v>
      </c>
      <c r="D16" s="9"/>
      <c r="E16" s="43"/>
      <c r="F16" s="56"/>
      <c r="G16" s="53"/>
    </row>
    <row r="17" spans="3:7">
      <c r="C17" s="14" t="s">
        <v>35</v>
      </c>
      <c r="D17" s="9"/>
      <c r="E17" s="43"/>
      <c r="F17" s="56"/>
      <c r="G17" s="53"/>
    </row>
    <row r="18" spans="3:7">
      <c r="C18" s="14" t="s">
        <v>36</v>
      </c>
      <c r="D18" s="9"/>
      <c r="E18" s="43"/>
      <c r="F18" s="57">
        <f>D18/E10*100</f>
        <v>0</v>
      </c>
      <c r="G18" s="53"/>
    </row>
    <row r="19" spans="3:7">
      <c r="C19" s="14" t="s">
        <v>37</v>
      </c>
      <c r="D19" s="9">
        <v>5100</v>
      </c>
      <c r="E19" s="43"/>
      <c r="F19" s="57">
        <f>D19/E10*100</f>
        <v>80.952380952380949</v>
      </c>
      <c r="G19" s="53"/>
    </row>
    <row r="20" spans="3:7">
      <c r="C20" s="14" t="s">
        <v>38</v>
      </c>
      <c r="D20" s="9"/>
      <c r="E20" s="43"/>
      <c r="F20" s="56"/>
      <c r="G20" s="53"/>
    </row>
    <row r="21" spans="3:7">
      <c r="C21" s="14" t="s">
        <v>39</v>
      </c>
      <c r="D21" s="9"/>
      <c r="E21" s="43"/>
      <c r="F21" s="56"/>
      <c r="G21" s="53"/>
    </row>
    <row r="22" spans="3:7">
      <c r="C22" s="14" t="s">
        <v>40</v>
      </c>
      <c r="D22" s="9">
        <v>900</v>
      </c>
      <c r="E22" s="43"/>
      <c r="F22" s="57">
        <f>D22/E10*100</f>
        <v>14.285714285714285</v>
      </c>
      <c r="G22" s="53"/>
    </row>
    <row r="23" spans="3:7">
      <c r="C23" s="14" t="s">
        <v>41</v>
      </c>
      <c r="D23" s="9"/>
      <c r="E23" s="43"/>
      <c r="F23" s="56"/>
      <c r="G23" s="53"/>
    </row>
    <row r="24" spans="3:7">
      <c r="C24" s="14" t="s">
        <v>42</v>
      </c>
      <c r="D24" s="9"/>
      <c r="E24" s="43"/>
      <c r="F24" s="56"/>
      <c r="G24" s="53"/>
    </row>
    <row r="25" spans="3:7" ht="15" customHeight="1">
      <c r="C25" s="15" t="s">
        <v>43</v>
      </c>
      <c r="D25" s="16"/>
      <c r="E25" s="42"/>
      <c r="F25" s="58"/>
      <c r="G25" s="54"/>
    </row>
    <row r="26" spans="3:7">
      <c r="C26" s="11" t="s">
        <v>44</v>
      </c>
      <c r="D26" s="12"/>
      <c r="E26" s="13"/>
      <c r="F26" s="59" t="e">
        <f>SUM(F27:F32)</f>
        <v>#DIV/0!</v>
      </c>
      <c r="G26" s="37">
        <f>(E26/E51)*100</f>
        <v>0</v>
      </c>
    </row>
    <row r="27" spans="3:7">
      <c r="C27" s="14" t="s">
        <v>45</v>
      </c>
      <c r="D27" s="9"/>
      <c r="E27" s="7"/>
      <c r="F27" s="49"/>
      <c r="G27" s="36"/>
    </row>
    <row r="28" spans="3:7">
      <c r="C28" s="14" t="s">
        <v>77</v>
      </c>
      <c r="D28" s="9"/>
      <c r="E28" s="7"/>
      <c r="F28" s="49" t="e">
        <f>D28/E26*100</f>
        <v>#DIV/0!</v>
      </c>
      <c r="G28" s="36"/>
    </row>
    <row r="29" spans="3:7">
      <c r="C29" s="14" t="s">
        <v>78</v>
      </c>
      <c r="D29" s="9"/>
      <c r="E29" s="7"/>
      <c r="F29" s="49" t="e">
        <f>D29/E26*100</f>
        <v>#DIV/0!</v>
      </c>
      <c r="G29" s="36"/>
    </row>
    <row r="30" spans="3:7">
      <c r="C30" s="14" t="s">
        <v>48</v>
      </c>
      <c r="D30" s="9"/>
      <c r="E30" s="7"/>
      <c r="F30" s="49"/>
      <c r="G30" s="36"/>
    </row>
    <row r="31" spans="3:7">
      <c r="C31" s="14" t="s">
        <v>49</v>
      </c>
      <c r="D31" s="9"/>
      <c r="E31" s="7"/>
      <c r="F31" s="49"/>
      <c r="G31" s="36"/>
    </row>
    <row r="32" spans="3:7" ht="15" customHeight="1">
      <c r="C32" s="15" t="s">
        <v>50</v>
      </c>
      <c r="D32" s="16"/>
      <c r="E32" s="17"/>
      <c r="F32" s="47"/>
      <c r="G32" s="35"/>
    </row>
    <row r="33" spans="2:7">
      <c r="C33" s="11" t="s">
        <v>51</v>
      </c>
      <c r="D33" s="12"/>
      <c r="E33" s="18"/>
      <c r="F33" s="48"/>
      <c r="G33" s="33"/>
    </row>
    <row r="34" spans="2:7">
      <c r="C34" s="14" t="s">
        <v>52</v>
      </c>
      <c r="D34" s="9"/>
      <c r="E34" s="7"/>
      <c r="F34" s="49"/>
      <c r="G34" s="36"/>
    </row>
    <row r="35" spans="2:7" ht="15" customHeight="1">
      <c r="C35" s="15" t="s">
        <v>53</v>
      </c>
      <c r="D35" s="16"/>
      <c r="E35" s="17"/>
      <c r="F35" s="47"/>
      <c r="G35" s="35"/>
    </row>
    <row r="36" spans="2:7" ht="15" customHeight="1">
      <c r="B36" s="6" t="s">
        <v>54</v>
      </c>
      <c r="C36" s="19" t="s">
        <v>55</v>
      </c>
      <c r="D36" s="20"/>
      <c r="E36" s="21"/>
      <c r="F36" s="34"/>
      <c r="G36" s="38"/>
    </row>
    <row r="37" spans="2:7">
      <c r="C37" s="11" t="s">
        <v>56</v>
      </c>
      <c r="D37" s="12"/>
      <c r="E37" s="13">
        <f>SUM(D38:D41)</f>
        <v>607248.32000000007</v>
      </c>
      <c r="F37" s="46"/>
      <c r="G37" s="37">
        <f>E37/E51*100</f>
        <v>98.692814324115602</v>
      </c>
    </row>
    <row r="38" spans="2:7">
      <c r="C38" s="14" t="s">
        <v>57</v>
      </c>
      <c r="D38" s="9">
        <v>456017.5</v>
      </c>
      <c r="E38" s="7"/>
      <c r="F38" s="49"/>
      <c r="G38" s="36"/>
    </row>
    <row r="39" spans="2:7">
      <c r="C39" s="14" t="s">
        <v>58</v>
      </c>
      <c r="D39" s="10">
        <v>151230.82</v>
      </c>
      <c r="E39" s="7"/>
      <c r="F39" s="49"/>
      <c r="G39" s="36"/>
    </row>
    <row r="40" spans="2:7">
      <c r="C40" s="14" t="s">
        <v>59</v>
      </c>
      <c r="D40" s="9"/>
      <c r="E40" s="7"/>
      <c r="F40" s="49"/>
      <c r="G40" s="36"/>
    </row>
    <row r="41" spans="2:7" ht="15" customHeight="1">
      <c r="C41" s="15" t="s">
        <v>60</v>
      </c>
      <c r="D41" s="16"/>
      <c r="E41" s="17"/>
      <c r="F41" s="47"/>
      <c r="G41" s="35"/>
    </row>
    <row r="42" spans="2:7" ht="15" customHeight="1">
      <c r="B42" s="6" t="s">
        <v>61</v>
      </c>
      <c r="C42" s="19" t="s">
        <v>62</v>
      </c>
      <c r="D42" s="22"/>
      <c r="E42" s="21"/>
      <c r="F42" s="34"/>
      <c r="G42" s="38"/>
    </row>
    <row r="43" spans="2:7">
      <c r="C43" s="11" t="s">
        <v>63</v>
      </c>
      <c r="D43" s="12"/>
      <c r="E43" s="25"/>
      <c r="F43" s="50"/>
      <c r="G43" s="37">
        <f>E43/E51*100</f>
        <v>0</v>
      </c>
    </row>
    <row r="44" spans="2:7">
      <c r="C44" s="14" t="s">
        <v>64</v>
      </c>
      <c r="D44" s="9"/>
      <c r="E44" s="7"/>
      <c r="F44" s="49"/>
      <c r="G44" s="36"/>
    </row>
    <row r="45" spans="2:7">
      <c r="C45" s="14" t="s">
        <v>65</v>
      </c>
      <c r="D45" s="9"/>
      <c r="E45" s="7"/>
      <c r="F45" s="49"/>
      <c r="G45" s="36"/>
    </row>
    <row r="46" spans="2:7">
      <c r="C46" s="14" t="s">
        <v>66</v>
      </c>
      <c r="D46" s="9"/>
      <c r="E46" s="7"/>
      <c r="F46" s="49"/>
      <c r="G46" s="36"/>
    </row>
    <row r="47" spans="2:7">
      <c r="C47" s="14" t="s">
        <v>67</v>
      </c>
      <c r="D47" s="9"/>
      <c r="E47" s="7"/>
      <c r="F47" s="49"/>
      <c r="G47" s="36"/>
    </row>
    <row r="48" spans="2:7" ht="15" customHeight="1">
      <c r="C48" s="15" t="s">
        <v>68</v>
      </c>
      <c r="D48" s="16"/>
      <c r="E48" s="17"/>
      <c r="F48" s="47"/>
      <c r="G48" s="35"/>
    </row>
    <row r="49" spans="3:7">
      <c r="C49" s="26" t="s">
        <v>69</v>
      </c>
      <c r="D49" s="12"/>
      <c r="E49" s="18"/>
      <c r="F49" s="48"/>
      <c r="G49" s="33"/>
    </row>
    <row r="50" spans="3:7" ht="15" customHeight="1">
      <c r="C50" s="27" t="s">
        <v>70</v>
      </c>
      <c r="D50" s="89"/>
      <c r="E50" s="28"/>
      <c r="F50" s="51"/>
      <c r="G50" s="39"/>
    </row>
    <row r="51" spans="3:7" ht="15" customHeight="1">
      <c r="C51" s="60" t="s">
        <v>71</v>
      </c>
      <c r="D51" s="65"/>
      <c r="E51" s="29">
        <f>SUM(E6:E50)</f>
        <v>615291.32000000007</v>
      </c>
      <c r="F51" s="45"/>
      <c r="G51" s="40">
        <f>SUM(G6:G50)</f>
        <v>99.716719553267865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DE19-03F7-4158-A486-609970B2B4CD}">
  <dimension ref="B2:G51"/>
  <sheetViews>
    <sheetView topLeftCell="A33" workbookViewId="0">
      <selection activeCell="D5" sqref="D5 D5:D50"/>
    </sheetView>
  </sheetViews>
  <sheetFormatPr baseColWidth="10" defaultColWidth="11.44140625" defaultRowHeight="14.4"/>
  <cols>
    <col min="1" max="1" width="11.44140625" customWidth="1"/>
    <col min="2" max="2" width="10.88671875" style="5" customWidth="1"/>
    <col min="3" max="3" width="51.109375" customWidth="1"/>
    <col min="4" max="4" width="12.33203125" style="10" bestFit="1" customWidth="1"/>
    <col min="5" max="5" width="12.33203125" bestFit="1" customWidth="1"/>
    <col min="6" max="6" width="12.33203125" style="8" customWidth="1"/>
    <col min="7" max="7" width="10.88671875" style="30" customWidth="1"/>
  </cols>
  <sheetData>
    <row r="2" spans="2:7">
      <c r="C2" s="30" t="s">
        <v>0</v>
      </c>
      <c r="D2" s="30"/>
      <c r="E2" s="30"/>
      <c r="F2" s="30"/>
    </row>
    <row r="3" spans="2:7" ht="15" customHeight="1"/>
    <row r="4" spans="2:7" s="8" customFormat="1">
      <c r="B4" s="8" t="s">
        <v>6</v>
      </c>
      <c r="C4" s="23" t="s">
        <v>72</v>
      </c>
      <c r="D4" s="31" t="s">
        <v>73</v>
      </c>
      <c r="E4" s="32" t="s">
        <v>74</v>
      </c>
      <c r="F4" s="41" t="s">
        <v>75</v>
      </c>
      <c r="G4" s="33" t="s">
        <v>76</v>
      </c>
    </row>
    <row r="5" spans="2:7" ht="15" customHeight="1">
      <c r="C5" s="24" t="s">
        <v>23</v>
      </c>
      <c r="D5" s="16"/>
      <c r="E5" s="17"/>
      <c r="F5" s="47"/>
      <c r="G5" s="35"/>
    </row>
    <row r="6" spans="2:7">
      <c r="C6" s="11" t="s">
        <v>24</v>
      </c>
      <c r="D6" s="12"/>
      <c r="E6" s="18"/>
      <c r="F6" s="48"/>
      <c r="G6" s="33"/>
    </row>
    <row r="7" spans="2:7">
      <c r="C7" s="14" t="s">
        <v>25</v>
      </c>
      <c r="D7" s="9"/>
      <c r="E7" s="7"/>
      <c r="F7" s="49"/>
      <c r="G7" s="36"/>
    </row>
    <row r="8" spans="2:7">
      <c r="C8" s="14" t="s">
        <v>26</v>
      </c>
      <c r="D8" s="9"/>
      <c r="E8" s="7"/>
      <c r="F8" s="49"/>
      <c r="G8" s="36"/>
    </row>
    <row r="9" spans="2:7" ht="15" customHeight="1">
      <c r="C9" s="15" t="s">
        <v>27</v>
      </c>
      <c r="D9" s="16"/>
      <c r="E9" s="17"/>
      <c r="F9" s="47"/>
      <c r="G9" s="35"/>
    </row>
    <row r="10" spans="2:7" ht="15" customHeight="1">
      <c r="C10" s="11" t="s">
        <v>28</v>
      </c>
      <c r="D10" s="12"/>
      <c r="E10" s="44">
        <f>SUM(D11:D25)</f>
        <v>5730</v>
      </c>
      <c r="F10" s="55">
        <f>SUM(F11:F25)</f>
        <v>89.528795811518322</v>
      </c>
      <c r="G10" s="52">
        <f>(E10/E51)*100</f>
        <v>1.2409379585162887</v>
      </c>
    </row>
    <row r="11" spans="2:7">
      <c r="C11" s="14" t="s">
        <v>29</v>
      </c>
      <c r="D11" s="9"/>
      <c r="E11" s="43"/>
      <c r="F11" s="56"/>
      <c r="G11" s="53"/>
    </row>
    <row r="12" spans="2:7">
      <c r="C12" s="14" t="s">
        <v>30</v>
      </c>
      <c r="D12" s="9">
        <v>600</v>
      </c>
      <c r="E12" s="43"/>
      <c r="F12" s="56"/>
      <c r="G12" s="53"/>
    </row>
    <row r="13" spans="2:7">
      <c r="C13" s="14" t="s">
        <v>31</v>
      </c>
      <c r="D13" s="9"/>
      <c r="E13" s="43"/>
      <c r="F13" s="56"/>
      <c r="G13" s="53"/>
    </row>
    <row r="14" spans="2:7">
      <c r="C14" s="14" t="s">
        <v>32</v>
      </c>
      <c r="D14" s="9">
        <v>900</v>
      </c>
      <c r="E14" s="43"/>
      <c r="F14" s="57">
        <f>D14/E10*100</f>
        <v>15.706806282722512</v>
      </c>
      <c r="G14" s="53"/>
    </row>
    <row r="15" spans="2:7">
      <c r="C15" s="14" t="s">
        <v>33</v>
      </c>
      <c r="D15" s="9"/>
      <c r="E15" s="43"/>
      <c r="F15" s="56"/>
      <c r="G15" s="53"/>
    </row>
    <row r="16" spans="2:7">
      <c r="C16" s="14" t="s">
        <v>34</v>
      </c>
      <c r="D16" s="9"/>
      <c r="E16" s="43"/>
      <c r="F16" s="56"/>
      <c r="G16" s="53"/>
    </row>
    <row r="17" spans="3:7">
      <c r="C17" s="14" t="s">
        <v>35</v>
      </c>
      <c r="D17" s="9"/>
      <c r="E17" s="43"/>
      <c r="F17" s="56"/>
      <c r="G17" s="53"/>
    </row>
    <row r="18" spans="3:7">
      <c r="C18" s="14" t="s">
        <v>36</v>
      </c>
      <c r="D18" s="9">
        <v>1890</v>
      </c>
      <c r="E18" s="43"/>
      <c r="F18" s="57">
        <f>D18/E10*100</f>
        <v>32.984293193717278</v>
      </c>
      <c r="G18" s="53"/>
    </row>
    <row r="19" spans="3:7">
      <c r="C19" s="14" t="s">
        <v>37</v>
      </c>
      <c r="D19" s="9">
        <v>2340</v>
      </c>
      <c r="E19" s="43"/>
      <c r="F19" s="57">
        <f>D19/E10*100</f>
        <v>40.837696335078533</v>
      </c>
      <c r="G19" s="53"/>
    </row>
    <row r="20" spans="3:7">
      <c r="C20" s="14" t="s">
        <v>38</v>
      </c>
      <c r="D20" s="9"/>
      <c r="E20" s="43"/>
      <c r="F20" s="56"/>
      <c r="G20" s="53"/>
    </row>
    <row r="21" spans="3:7">
      <c r="C21" s="14" t="s">
        <v>39</v>
      </c>
      <c r="D21" s="9"/>
      <c r="E21" s="43"/>
      <c r="F21" s="56"/>
      <c r="G21" s="53"/>
    </row>
    <row r="22" spans="3:7">
      <c r="C22" s="14" t="s">
        <v>40</v>
      </c>
      <c r="D22" s="9"/>
      <c r="E22" s="43"/>
      <c r="F22" s="57">
        <f>D22/E10*100</f>
        <v>0</v>
      </c>
      <c r="G22" s="53"/>
    </row>
    <row r="23" spans="3:7">
      <c r="C23" s="14" t="s">
        <v>41</v>
      </c>
      <c r="D23" s="9"/>
      <c r="E23" s="43"/>
      <c r="F23" s="56"/>
      <c r="G23" s="53"/>
    </row>
    <row r="24" spans="3:7">
      <c r="C24" s="14" t="s">
        <v>42</v>
      </c>
      <c r="D24" s="9"/>
      <c r="E24" s="43"/>
      <c r="F24" s="56"/>
      <c r="G24" s="53"/>
    </row>
    <row r="25" spans="3:7" ht="15" customHeight="1">
      <c r="C25" s="15" t="s">
        <v>43</v>
      </c>
      <c r="D25" s="16"/>
      <c r="E25" s="42"/>
      <c r="F25" s="58"/>
      <c r="G25" s="54"/>
    </row>
    <row r="26" spans="3:7">
      <c r="C26" s="11" t="s">
        <v>44</v>
      </c>
      <c r="D26" s="12"/>
      <c r="E26" s="13"/>
      <c r="F26" s="59" t="e">
        <f>SUM(F27:F32)</f>
        <v>#DIV/0!</v>
      </c>
      <c r="G26" s="37">
        <f>(E26/E51)*100</f>
        <v>0</v>
      </c>
    </row>
    <row r="27" spans="3:7">
      <c r="C27" s="14" t="s">
        <v>45</v>
      </c>
      <c r="D27" s="9"/>
      <c r="E27" s="7"/>
      <c r="F27" s="49"/>
      <c r="G27" s="36"/>
    </row>
    <row r="28" spans="3:7">
      <c r="C28" s="14" t="s">
        <v>77</v>
      </c>
      <c r="D28" s="9">
        <v>0</v>
      </c>
      <c r="E28" s="7"/>
      <c r="F28" s="49" t="e">
        <f>D28/E26*100</f>
        <v>#DIV/0!</v>
      </c>
      <c r="G28" s="36"/>
    </row>
    <row r="29" spans="3:7">
      <c r="C29" s="14" t="s">
        <v>78</v>
      </c>
      <c r="D29" s="9">
        <v>0</v>
      </c>
      <c r="E29" s="7"/>
      <c r="F29" s="49" t="e">
        <f>D29/E26*100</f>
        <v>#DIV/0!</v>
      </c>
      <c r="G29" s="36"/>
    </row>
    <row r="30" spans="3:7">
      <c r="C30" s="14" t="s">
        <v>48</v>
      </c>
      <c r="D30" s="9">
        <v>0</v>
      </c>
      <c r="E30" s="7"/>
      <c r="F30" s="49"/>
      <c r="G30" s="36"/>
    </row>
    <row r="31" spans="3:7">
      <c r="C31" s="14" t="s">
        <v>49</v>
      </c>
      <c r="D31" s="9">
        <v>0</v>
      </c>
      <c r="E31" s="7"/>
      <c r="F31" s="49"/>
      <c r="G31" s="36"/>
    </row>
    <row r="32" spans="3:7" ht="15" customHeight="1">
      <c r="C32" s="15" t="s">
        <v>50</v>
      </c>
      <c r="D32" s="16"/>
      <c r="E32" s="17"/>
      <c r="F32" s="47"/>
      <c r="G32" s="35"/>
    </row>
    <row r="33" spans="2:7">
      <c r="C33" s="11" t="s">
        <v>51</v>
      </c>
      <c r="D33" s="12"/>
      <c r="E33" s="18"/>
      <c r="F33" s="48"/>
      <c r="G33" s="33"/>
    </row>
    <row r="34" spans="2:7">
      <c r="C34" s="14" t="s">
        <v>52</v>
      </c>
      <c r="D34" s="9"/>
      <c r="E34" s="7"/>
      <c r="F34" s="49"/>
      <c r="G34" s="36"/>
    </row>
    <row r="35" spans="2:7" ht="15" customHeight="1">
      <c r="C35" s="15" t="s">
        <v>53</v>
      </c>
      <c r="D35" s="16"/>
      <c r="E35" s="17"/>
      <c r="F35" s="47"/>
      <c r="G35" s="35"/>
    </row>
    <row r="36" spans="2:7" ht="15" customHeight="1">
      <c r="B36" s="6" t="s">
        <v>54</v>
      </c>
      <c r="C36" s="19" t="s">
        <v>55</v>
      </c>
      <c r="D36" s="20"/>
      <c r="E36" s="21"/>
      <c r="F36" s="34"/>
      <c r="G36" s="38"/>
    </row>
    <row r="37" spans="2:7">
      <c r="C37" s="11" t="s">
        <v>56</v>
      </c>
      <c r="D37" s="12"/>
      <c r="E37" s="13">
        <f>SUM(D38:D41)</f>
        <v>456017.5</v>
      </c>
      <c r="F37" s="46"/>
      <c r="G37" s="37">
        <f>E37/E51*100</f>
        <v>98.759062041483716</v>
      </c>
    </row>
    <row r="38" spans="2:7">
      <c r="C38" s="14" t="s">
        <v>57</v>
      </c>
      <c r="D38" s="9">
        <v>456017.5</v>
      </c>
      <c r="E38" s="7"/>
      <c r="F38" s="49"/>
      <c r="G38" s="36"/>
    </row>
    <row r="39" spans="2:7">
      <c r="C39" s="14" t="s">
        <v>58</v>
      </c>
      <c r="E39" s="7"/>
      <c r="F39" s="49"/>
      <c r="G39" s="36"/>
    </row>
    <row r="40" spans="2:7">
      <c r="C40" s="14" t="s">
        <v>59</v>
      </c>
      <c r="D40" s="9"/>
      <c r="E40" s="7"/>
      <c r="F40" s="49"/>
      <c r="G40" s="36"/>
    </row>
    <row r="41" spans="2:7" ht="15" customHeight="1">
      <c r="C41" s="15" t="s">
        <v>60</v>
      </c>
      <c r="D41" s="16"/>
      <c r="E41" s="17"/>
      <c r="F41" s="47"/>
      <c r="G41" s="35"/>
    </row>
    <row r="42" spans="2:7" ht="15" customHeight="1">
      <c r="B42" s="6" t="s">
        <v>61</v>
      </c>
      <c r="C42" s="19" t="s">
        <v>62</v>
      </c>
      <c r="D42" s="22"/>
      <c r="E42" s="21"/>
      <c r="F42" s="34"/>
      <c r="G42" s="38"/>
    </row>
    <row r="43" spans="2:7">
      <c r="C43" s="11" t="s">
        <v>63</v>
      </c>
      <c r="D43" s="12"/>
      <c r="E43" s="25"/>
      <c r="F43" s="50"/>
      <c r="G43" s="37">
        <f>E43/E51*100</f>
        <v>0</v>
      </c>
    </row>
    <row r="44" spans="2:7">
      <c r="C44" s="14" t="s">
        <v>64</v>
      </c>
      <c r="D44" s="9"/>
      <c r="E44" s="7"/>
      <c r="F44" s="49"/>
      <c r="G44" s="36"/>
    </row>
    <row r="45" spans="2:7">
      <c r="C45" s="14" t="s">
        <v>65</v>
      </c>
      <c r="D45" s="9"/>
      <c r="E45" s="7"/>
      <c r="F45" s="49"/>
      <c r="G45" s="36"/>
    </row>
    <row r="46" spans="2:7">
      <c r="C46" s="14" t="s">
        <v>66</v>
      </c>
      <c r="D46" s="9"/>
      <c r="E46" s="7"/>
      <c r="F46" s="49"/>
      <c r="G46" s="36"/>
    </row>
    <row r="47" spans="2:7">
      <c r="C47" s="14" t="s">
        <v>67</v>
      </c>
      <c r="D47" s="9"/>
      <c r="E47" s="7"/>
      <c r="F47" s="49"/>
      <c r="G47" s="36"/>
    </row>
    <row r="48" spans="2:7" ht="15" customHeight="1">
      <c r="C48" s="15" t="s">
        <v>68</v>
      </c>
      <c r="D48" s="16"/>
      <c r="E48" s="17"/>
      <c r="F48" s="47"/>
      <c r="G48" s="35"/>
    </row>
    <row r="49" spans="3:7">
      <c r="C49" s="26" t="s">
        <v>69</v>
      </c>
      <c r="D49" s="12"/>
      <c r="E49" s="18"/>
      <c r="F49" s="48"/>
      <c r="G49" s="33"/>
    </row>
    <row r="50" spans="3:7" ht="15" customHeight="1">
      <c r="C50" s="27" t="s">
        <v>70</v>
      </c>
      <c r="D50" s="89"/>
      <c r="E50" s="28"/>
      <c r="F50" s="51"/>
      <c r="G50" s="39"/>
    </row>
    <row r="51" spans="3:7" ht="15" customHeight="1">
      <c r="C51" s="60" t="s">
        <v>71</v>
      </c>
      <c r="D51" s="65"/>
      <c r="E51" s="29">
        <f>SUM(E6:E50)</f>
        <v>461747.5</v>
      </c>
      <c r="F51" s="45"/>
      <c r="G51" s="40">
        <f>SUM(G6:G50)</f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2A24-C209-4066-AEC7-B8689B3BC58A}">
  <dimension ref="B2:G51"/>
  <sheetViews>
    <sheetView topLeftCell="A34" workbookViewId="0">
      <selection activeCell="D5" sqref="D5 D5:D51"/>
    </sheetView>
  </sheetViews>
  <sheetFormatPr baseColWidth="10" defaultColWidth="11.44140625" defaultRowHeight="14.4"/>
  <cols>
    <col min="1" max="1" width="11.44140625" customWidth="1"/>
    <col min="2" max="2" width="10.88671875" style="5" customWidth="1"/>
    <col min="3" max="3" width="51.109375" customWidth="1"/>
    <col min="4" max="4" width="12.33203125" style="10" bestFit="1" customWidth="1"/>
    <col min="5" max="5" width="12.33203125" bestFit="1" customWidth="1"/>
    <col min="6" max="6" width="12.33203125" style="8" customWidth="1"/>
    <col min="7" max="7" width="10.88671875" style="30" customWidth="1"/>
  </cols>
  <sheetData>
    <row r="2" spans="2:7">
      <c r="C2" s="30" t="s">
        <v>0</v>
      </c>
      <c r="D2" s="30"/>
      <c r="E2" s="30"/>
      <c r="F2" s="30"/>
    </row>
    <row r="3" spans="2:7" ht="15" customHeight="1"/>
    <row r="4" spans="2:7" s="8" customFormat="1">
      <c r="B4" s="8" t="s">
        <v>6</v>
      </c>
      <c r="C4" s="23" t="s">
        <v>72</v>
      </c>
      <c r="D4" s="31" t="s">
        <v>73</v>
      </c>
      <c r="E4" s="32" t="s">
        <v>74</v>
      </c>
      <c r="F4" s="41" t="s">
        <v>75</v>
      </c>
      <c r="G4" s="33" t="s">
        <v>76</v>
      </c>
    </row>
    <row r="5" spans="2:7" ht="15" customHeight="1">
      <c r="C5" s="24" t="s">
        <v>23</v>
      </c>
      <c r="D5" s="16"/>
      <c r="E5" s="17"/>
      <c r="F5" s="47"/>
      <c r="G5" s="35"/>
    </row>
    <row r="6" spans="2:7">
      <c r="C6" s="11" t="s">
        <v>24</v>
      </c>
      <c r="D6" s="12"/>
      <c r="E6" s="18"/>
      <c r="F6" s="48"/>
      <c r="G6" s="33"/>
    </row>
    <row r="7" spans="2:7">
      <c r="C7" s="14" t="s">
        <v>25</v>
      </c>
      <c r="D7" s="9"/>
      <c r="E7" s="7"/>
      <c r="F7" s="49"/>
      <c r="G7" s="36"/>
    </row>
    <row r="8" spans="2:7">
      <c r="C8" s="14" t="s">
        <v>26</v>
      </c>
      <c r="D8" s="9"/>
      <c r="E8" s="7"/>
      <c r="F8" s="49"/>
      <c r="G8" s="36"/>
    </row>
    <row r="9" spans="2:7" ht="15" customHeight="1">
      <c r="C9" s="15" t="s">
        <v>27</v>
      </c>
      <c r="D9" s="16"/>
      <c r="E9" s="17"/>
      <c r="F9" s="47"/>
      <c r="G9" s="35"/>
    </row>
    <row r="10" spans="2:7" ht="15" customHeight="1">
      <c r="C10" s="11" t="s">
        <v>28</v>
      </c>
      <c r="D10" s="12"/>
      <c r="E10" s="44">
        <f>SUM(D11:D25)</f>
        <v>4320</v>
      </c>
      <c r="F10" s="55">
        <f>SUM(F11:F25)</f>
        <v>99.999999999999986</v>
      </c>
      <c r="G10" s="52">
        <f>(E10/E51)*100</f>
        <v>0.4845972285278754</v>
      </c>
    </row>
    <row r="11" spans="2:7">
      <c r="C11" s="14" t="s">
        <v>29</v>
      </c>
      <c r="D11" s="9"/>
      <c r="E11" s="43"/>
      <c r="F11" s="56"/>
      <c r="G11" s="53"/>
    </row>
    <row r="12" spans="2:7">
      <c r="C12" s="14" t="s">
        <v>30</v>
      </c>
      <c r="D12" s="9"/>
      <c r="E12" s="43"/>
      <c r="F12" s="56"/>
      <c r="G12" s="53"/>
    </row>
    <row r="13" spans="2:7">
      <c r="C13" s="14" t="s">
        <v>31</v>
      </c>
      <c r="D13" s="9"/>
      <c r="E13" s="43"/>
      <c r="F13" s="56"/>
      <c r="G13" s="53"/>
    </row>
    <row r="14" spans="2:7">
      <c r="C14" s="14" t="s">
        <v>32</v>
      </c>
      <c r="D14" s="9">
        <v>1920</v>
      </c>
      <c r="E14" s="43"/>
      <c r="F14" s="57">
        <f>D14/E10*100</f>
        <v>44.444444444444443</v>
      </c>
      <c r="G14" s="53"/>
    </row>
    <row r="15" spans="2:7">
      <c r="C15" s="14" t="s">
        <v>33</v>
      </c>
      <c r="D15" s="9"/>
      <c r="E15" s="43"/>
      <c r="F15" s="56"/>
      <c r="G15" s="53"/>
    </row>
    <row r="16" spans="2:7">
      <c r="C16" s="14" t="s">
        <v>34</v>
      </c>
      <c r="D16" s="9"/>
      <c r="E16" s="43"/>
      <c r="F16" s="56"/>
      <c r="G16" s="53"/>
    </row>
    <row r="17" spans="3:7">
      <c r="C17" s="14" t="s">
        <v>35</v>
      </c>
      <c r="D17" s="9"/>
      <c r="E17" s="43"/>
      <c r="F17" s="56"/>
      <c r="G17" s="53"/>
    </row>
    <row r="18" spans="3:7">
      <c r="C18" s="14" t="s">
        <v>36</v>
      </c>
      <c r="D18" s="9">
        <v>960</v>
      </c>
      <c r="E18" s="43"/>
      <c r="F18" s="57">
        <f>D18/E10*100</f>
        <v>22.222222222222221</v>
      </c>
      <c r="G18" s="53"/>
    </row>
    <row r="19" spans="3:7">
      <c r="C19" s="14" t="s">
        <v>37</v>
      </c>
      <c r="D19" s="9">
        <v>1440</v>
      </c>
      <c r="E19" s="43"/>
      <c r="F19" s="57">
        <f>D19/E10*100</f>
        <v>33.333333333333329</v>
      </c>
      <c r="G19" s="53"/>
    </row>
    <row r="20" spans="3:7">
      <c r="C20" s="14" t="s">
        <v>38</v>
      </c>
      <c r="D20" s="9"/>
      <c r="E20" s="43"/>
      <c r="F20" s="56"/>
      <c r="G20" s="53"/>
    </row>
    <row r="21" spans="3:7">
      <c r="C21" s="14" t="s">
        <v>39</v>
      </c>
      <c r="D21" s="9"/>
      <c r="E21" s="43"/>
      <c r="F21" s="56"/>
      <c r="G21" s="53"/>
    </row>
    <row r="22" spans="3:7">
      <c r="C22" s="14" t="s">
        <v>40</v>
      </c>
      <c r="D22" s="9"/>
      <c r="E22" s="43"/>
      <c r="F22" s="57">
        <f>D22/E10*100</f>
        <v>0</v>
      </c>
      <c r="G22" s="53"/>
    </row>
    <row r="23" spans="3:7">
      <c r="C23" s="14" t="s">
        <v>41</v>
      </c>
      <c r="D23" s="9"/>
      <c r="E23" s="43"/>
      <c r="F23" s="56"/>
      <c r="G23" s="53"/>
    </row>
    <row r="24" spans="3:7">
      <c r="C24" s="14" t="s">
        <v>42</v>
      </c>
      <c r="D24" s="9"/>
      <c r="E24" s="43"/>
      <c r="F24" s="56"/>
      <c r="G24" s="53"/>
    </row>
    <row r="25" spans="3:7" ht="15" customHeight="1">
      <c r="C25" s="15" t="s">
        <v>43</v>
      </c>
      <c r="D25" s="16"/>
      <c r="E25" s="42"/>
      <c r="F25" s="58"/>
      <c r="G25" s="54"/>
    </row>
    <row r="26" spans="3:7">
      <c r="C26" s="11" t="s">
        <v>44</v>
      </c>
      <c r="D26" s="12"/>
      <c r="E26" s="13">
        <f>SUM(D27:D35)</f>
        <v>500</v>
      </c>
      <c r="F26" s="59">
        <f>SUM(F27:F32)</f>
        <v>100</v>
      </c>
      <c r="G26" s="37">
        <f>(E26/E51)*100</f>
        <v>5.6087642190726324E-2</v>
      </c>
    </row>
    <row r="27" spans="3:7">
      <c r="C27" s="14" t="s">
        <v>45</v>
      </c>
      <c r="D27" s="9"/>
      <c r="E27" s="7"/>
      <c r="F27" s="49"/>
      <c r="G27" s="36"/>
    </row>
    <row r="28" spans="3:7">
      <c r="C28" s="14" t="s">
        <v>77</v>
      </c>
      <c r="D28" s="9">
        <v>500</v>
      </c>
      <c r="E28" s="7"/>
      <c r="F28" s="49">
        <f>D28/E26*100</f>
        <v>100</v>
      </c>
      <c r="G28" s="36"/>
    </row>
    <row r="29" spans="3:7">
      <c r="C29" s="14" t="s">
        <v>78</v>
      </c>
      <c r="D29" s="9"/>
      <c r="E29" s="7"/>
      <c r="F29" s="49">
        <f>D29/E26*100</f>
        <v>0</v>
      </c>
      <c r="G29" s="36"/>
    </row>
    <row r="30" spans="3:7">
      <c r="C30" s="14" t="s">
        <v>48</v>
      </c>
      <c r="D30" s="9"/>
      <c r="E30" s="7"/>
      <c r="F30" s="49"/>
      <c r="G30" s="36"/>
    </row>
    <row r="31" spans="3:7">
      <c r="C31" s="14" t="s">
        <v>49</v>
      </c>
      <c r="D31" s="9"/>
      <c r="E31" s="7"/>
      <c r="F31" s="49"/>
      <c r="G31" s="36"/>
    </row>
    <row r="32" spans="3:7" ht="15" customHeight="1">
      <c r="C32" s="15" t="s">
        <v>50</v>
      </c>
      <c r="D32" s="16"/>
      <c r="E32" s="17"/>
      <c r="F32" s="47"/>
      <c r="G32" s="35"/>
    </row>
    <row r="33" spans="2:7">
      <c r="C33" s="11" t="s">
        <v>51</v>
      </c>
      <c r="D33" s="12"/>
      <c r="E33" s="18"/>
      <c r="F33" s="48"/>
      <c r="G33" s="33"/>
    </row>
    <row r="34" spans="2:7">
      <c r="C34" s="14" t="s">
        <v>52</v>
      </c>
      <c r="D34" s="9"/>
      <c r="E34" s="7"/>
      <c r="F34" s="49"/>
      <c r="G34" s="36"/>
    </row>
    <row r="35" spans="2:7" ht="15" customHeight="1">
      <c r="C35" s="15" t="s">
        <v>53</v>
      </c>
      <c r="D35" s="16"/>
      <c r="E35" s="17"/>
      <c r="F35" s="47"/>
      <c r="G35" s="35"/>
    </row>
    <row r="36" spans="2:7" ht="15" customHeight="1">
      <c r="B36" s="6" t="s">
        <v>54</v>
      </c>
      <c r="C36" s="19" t="s">
        <v>55</v>
      </c>
      <c r="D36" s="20"/>
      <c r="E36" s="21"/>
      <c r="F36" s="34"/>
      <c r="G36" s="38"/>
    </row>
    <row r="37" spans="2:7">
      <c r="C37" s="11" t="s">
        <v>56</v>
      </c>
      <c r="D37" s="12"/>
      <c r="E37" s="13">
        <f>SUM(D38:D41)</f>
        <v>758477.97</v>
      </c>
      <c r="F37" s="46">
        <f>SUM(F38:F41)</f>
        <v>100</v>
      </c>
      <c r="G37" s="37">
        <f>E37/E51*100</f>
        <v>85.082481981816898</v>
      </c>
    </row>
    <row r="38" spans="2:7">
      <c r="C38" s="14" t="s">
        <v>57</v>
      </c>
      <c r="D38" s="9">
        <v>456017.5</v>
      </c>
      <c r="E38" s="7"/>
      <c r="F38" s="61">
        <f>D38/E37*100</f>
        <v>60.122708639777635</v>
      </c>
      <c r="G38" s="36"/>
    </row>
    <row r="39" spans="2:7">
      <c r="C39" s="14" t="s">
        <v>58</v>
      </c>
      <c r="D39" s="10">
        <v>302460.46999999997</v>
      </c>
      <c r="E39" s="7"/>
      <c r="F39" s="61">
        <f>D39/E37*100</f>
        <v>39.877291360222365</v>
      </c>
      <c r="G39" s="36"/>
    </row>
    <row r="40" spans="2:7">
      <c r="C40" s="14" t="s">
        <v>59</v>
      </c>
      <c r="D40" s="9"/>
      <c r="E40" s="7"/>
      <c r="F40" s="49"/>
      <c r="G40" s="36"/>
    </row>
    <row r="41" spans="2:7" ht="15" customHeight="1">
      <c r="C41" s="15" t="s">
        <v>60</v>
      </c>
      <c r="D41" s="16"/>
      <c r="E41" s="17"/>
      <c r="F41" s="47"/>
      <c r="G41" s="35"/>
    </row>
    <row r="42" spans="2:7" ht="15" customHeight="1">
      <c r="B42" s="6" t="s">
        <v>61</v>
      </c>
      <c r="C42" s="19" t="s">
        <v>62</v>
      </c>
      <c r="D42" s="22"/>
      <c r="E42" s="21"/>
      <c r="F42" s="34"/>
      <c r="G42" s="38"/>
    </row>
    <row r="43" spans="2:7">
      <c r="C43" s="11" t="s">
        <v>63</v>
      </c>
      <c r="D43" s="12"/>
      <c r="E43" s="25">
        <f>SUM(D44:D48)</f>
        <v>128164</v>
      </c>
      <c r="F43" s="50"/>
      <c r="G43" s="37">
        <f>E43/E51*100</f>
        <v>14.376833147464495</v>
      </c>
    </row>
    <row r="44" spans="2:7">
      <c r="C44" s="14" t="s">
        <v>64</v>
      </c>
      <c r="D44" s="9"/>
      <c r="E44" s="7"/>
      <c r="F44" s="49"/>
      <c r="G44" s="36"/>
    </row>
    <row r="45" spans="2:7">
      <c r="C45" s="14" t="s">
        <v>65</v>
      </c>
      <c r="D45" s="9"/>
      <c r="E45" s="7"/>
      <c r="F45" s="49"/>
      <c r="G45" s="36"/>
    </row>
    <row r="46" spans="2:7">
      <c r="C46" s="14" t="s">
        <v>66</v>
      </c>
      <c r="D46" s="9">
        <v>128164</v>
      </c>
      <c r="E46" s="7"/>
      <c r="F46" s="49"/>
      <c r="G46" s="36"/>
    </row>
    <row r="47" spans="2:7">
      <c r="C47" s="14" t="s">
        <v>67</v>
      </c>
      <c r="D47" s="9"/>
      <c r="E47" s="7"/>
      <c r="F47" s="49"/>
      <c r="G47" s="36"/>
    </row>
    <row r="48" spans="2:7" ht="15" customHeight="1">
      <c r="C48" s="15" t="s">
        <v>68</v>
      </c>
      <c r="D48" s="16"/>
      <c r="E48" s="17"/>
      <c r="F48" s="47"/>
      <c r="G48" s="35"/>
    </row>
    <row r="49" spans="3:7">
      <c r="C49" s="26" t="s">
        <v>69</v>
      </c>
      <c r="D49" s="12"/>
      <c r="E49" s="18"/>
      <c r="F49" s="48"/>
      <c r="G49" s="33"/>
    </row>
    <row r="50" spans="3:7" ht="15" customHeight="1">
      <c r="C50" s="27" t="s">
        <v>70</v>
      </c>
      <c r="D50" s="89"/>
      <c r="E50" s="28"/>
      <c r="F50" s="51"/>
      <c r="G50" s="39"/>
    </row>
    <row r="51" spans="3:7" ht="15" customHeight="1">
      <c r="C51" s="60" t="s">
        <v>71</v>
      </c>
      <c r="D51" s="65"/>
      <c r="E51" s="29">
        <f>SUM(E6:E50)</f>
        <v>891461.97</v>
      </c>
      <c r="F51" s="45"/>
      <c r="G51" s="40">
        <f>SUM(G6:G50)</f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CCC6-B224-41E4-BB2D-27FC13F62154}">
  <dimension ref="B2:G51"/>
  <sheetViews>
    <sheetView topLeftCell="A34" workbookViewId="0">
      <selection activeCell="I44" sqref="I44"/>
    </sheetView>
  </sheetViews>
  <sheetFormatPr baseColWidth="10" defaultColWidth="11.44140625" defaultRowHeight="14.4"/>
  <cols>
    <col min="1" max="1" width="11.44140625" customWidth="1"/>
    <col min="2" max="2" width="10.88671875" style="5" customWidth="1"/>
    <col min="3" max="3" width="51.109375" customWidth="1"/>
    <col min="4" max="4" width="12.33203125" style="10" bestFit="1" customWidth="1"/>
    <col min="5" max="5" width="12.33203125" bestFit="1" customWidth="1"/>
    <col min="6" max="6" width="12.33203125" style="8" customWidth="1"/>
    <col min="7" max="7" width="10.88671875" style="30" customWidth="1"/>
  </cols>
  <sheetData>
    <row r="2" spans="2:7">
      <c r="C2" s="30" t="s">
        <v>0</v>
      </c>
      <c r="D2" s="30"/>
      <c r="E2" s="30"/>
      <c r="F2" s="30"/>
    </row>
    <row r="3" spans="2:7" ht="15" customHeight="1"/>
    <row r="4" spans="2:7" s="8" customFormat="1">
      <c r="B4" s="8" t="s">
        <v>6</v>
      </c>
      <c r="C4" s="23" t="s">
        <v>72</v>
      </c>
      <c r="D4" s="31" t="s">
        <v>73</v>
      </c>
      <c r="E4" s="32" t="s">
        <v>74</v>
      </c>
      <c r="F4" s="41" t="s">
        <v>75</v>
      </c>
      <c r="G4" s="33" t="s">
        <v>76</v>
      </c>
    </row>
    <row r="5" spans="2:7" ht="15" customHeight="1">
      <c r="C5" s="24" t="s">
        <v>23</v>
      </c>
      <c r="D5" s="16"/>
      <c r="E5" s="17"/>
      <c r="F5" s="47"/>
      <c r="G5" s="35"/>
    </row>
    <row r="6" spans="2:7">
      <c r="C6" s="11" t="s">
        <v>24</v>
      </c>
      <c r="D6" s="12"/>
      <c r="E6" s="18"/>
      <c r="F6" s="48"/>
      <c r="G6" s="33"/>
    </row>
    <row r="7" spans="2:7">
      <c r="C7" s="14" t="s">
        <v>25</v>
      </c>
      <c r="D7" s="9"/>
      <c r="E7" s="7"/>
      <c r="F7" s="49"/>
      <c r="G7" s="36"/>
    </row>
    <row r="8" spans="2:7">
      <c r="C8" s="14" t="s">
        <v>26</v>
      </c>
      <c r="D8" s="9"/>
      <c r="E8" s="7"/>
      <c r="F8" s="49"/>
      <c r="G8" s="36"/>
    </row>
    <row r="9" spans="2:7" ht="15" customHeight="1">
      <c r="C9" s="15" t="s">
        <v>27</v>
      </c>
      <c r="D9" s="16"/>
      <c r="E9" s="17"/>
      <c r="F9" s="47"/>
      <c r="G9" s="35"/>
    </row>
    <row r="10" spans="2:7" ht="15" customHeight="1">
      <c r="C10" s="11" t="s">
        <v>28</v>
      </c>
      <c r="D10" s="12"/>
      <c r="E10" s="44">
        <f>SUM(D11:D25)</f>
        <v>3380</v>
      </c>
      <c r="F10" s="55">
        <f>SUM(F11:F25)</f>
        <v>100.00000000000001</v>
      </c>
      <c r="G10" s="52">
        <f>(E10/E51)*100</f>
        <v>0.53188691983372016</v>
      </c>
    </row>
    <row r="11" spans="2:7">
      <c r="C11" s="14" t="s">
        <v>29</v>
      </c>
      <c r="D11" s="9"/>
      <c r="E11" s="43"/>
      <c r="F11" s="56"/>
      <c r="G11" s="53"/>
    </row>
    <row r="12" spans="2:7">
      <c r="C12" s="14" t="s">
        <v>30</v>
      </c>
      <c r="D12" s="9"/>
      <c r="E12" s="43"/>
      <c r="F12" s="56"/>
      <c r="G12" s="53"/>
    </row>
    <row r="13" spans="2:7">
      <c r="C13" s="14" t="s">
        <v>31</v>
      </c>
      <c r="D13" s="9"/>
      <c r="E13" s="43"/>
      <c r="F13" s="56"/>
      <c r="G13" s="53"/>
    </row>
    <row r="14" spans="2:7">
      <c r="C14" s="14" t="s">
        <v>32</v>
      </c>
      <c r="D14" s="9">
        <v>1440</v>
      </c>
      <c r="E14" s="43"/>
      <c r="F14" s="57">
        <f>D14/E10*100</f>
        <v>42.603550295857993</v>
      </c>
      <c r="G14" s="53"/>
    </row>
    <row r="15" spans="2:7">
      <c r="C15" s="14" t="s">
        <v>33</v>
      </c>
      <c r="D15" s="9"/>
      <c r="E15" s="43"/>
      <c r="F15" s="56"/>
      <c r="G15" s="53"/>
    </row>
    <row r="16" spans="2:7">
      <c r="C16" s="14" t="s">
        <v>34</v>
      </c>
      <c r="D16" s="9"/>
      <c r="E16" s="43"/>
      <c r="F16" s="56"/>
      <c r="G16" s="53"/>
    </row>
    <row r="17" spans="3:7">
      <c r="C17" s="14" t="s">
        <v>35</v>
      </c>
      <c r="D17" s="9"/>
      <c r="E17" s="43"/>
      <c r="F17" s="56"/>
      <c r="G17" s="53"/>
    </row>
    <row r="18" spans="3:7">
      <c r="C18" s="14" t="s">
        <v>36</v>
      </c>
      <c r="D18" s="9">
        <v>480</v>
      </c>
      <c r="E18" s="43"/>
      <c r="F18" s="57">
        <f>D18/E10*100</f>
        <v>14.201183431952662</v>
      </c>
      <c r="G18" s="53"/>
    </row>
    <row r="19" spans="3:7">
      <c r="C19" s="14" t="s">
        <v>37</v>
      </c>
      <c r="D19" s="9">
        <v>960</v>
      </c>
      <c r="E19" s="43"/>
      <c r="F19" s="57">
        <f>D19/E10*100</f>
        <v>28.402366863905325</v>
      </c>
      <c r="G19" s="53"/>
    </row>
    <row r="20" spans="3:7">
      <c r="C20" s="14" t="s">
        <v>38</v>
      </c>
      <c r="D20" s="9"/>
      <c r="E20" s="43"/>
      <c r="F20" s="56"/>
      <c r="G20" s="53"/>
    </row>
    <row r="21" spans="3:7">
      <c r="C21" s="14" t="s">
        <v>39</v>
      </c>
      <c r="D21" s="9"/>
      <c r="E21" s="43"/>
      <c r="F21" s="56"/>
      <c r="G21" s="53"/>
    </row>
    <row r="22" spans="3:7">
      <c r="C22" s="14" t="s">
        <v>40</v>
      </c>
      <c r="D22" s="9">
        <v>500</v>
      </c>
      <c r="E22" s="43"/>
      <c r="F22" s="57">
        <f>D22/E10*100</f>
        <v>14.792899408284024</v>
      </c>
      <c r="G22" s="53"/>
    </row>
    <row r="23" spans="3:7">
      <c r="C23" s="14" t="s">
        <v>41</v>
      </c>
      <c r="D23" s="9"/>
      <c r="E23" s="43"/>
      <c r="F23" s="56"/>
      <c r="G23" s="53"/>
    </row>
    <row r="24" spans="3:7">
      <c r="C24" s="14" t="s">
        <v>42</v>
      </c>
      <c r="D24" s="9"/>
      <c r="E24" s="43"/>
      <c r="F24" s="56"/>
      <c r="G24" s="53"/>
    </row>
    <row r="25" spans="3:7" ht="15" customHeight="1">
      <c r="C25" s="15" t="s">
        <v>43</v>
      </c>
      <c r="D25" s="16"/>
      <c r="E25" s="42"/>
      <c r="F25" s="58"/>
      <c r="G25" s="54"/>
    </row>
    <row r="26" spans="3:7">
      <c r="C26" s="11" t="s">
        <v>44</v>
      </c>
      <c r="D26" s="12"/>
      <c r="E26" s="13">
        <f>SUM(D27:D32)</f>
        <v>2500</v>
      </c>
      <c r="F26" s="59">
        <f>SUM(F27:F32)</f>
        <v>100</v>
      </c>
      <c r="G26" s="37">
        <f>(E26/E51)*100</f>
        <v>0.3934074850841125</v>
      </c>
    </row>
    <row r="27" spans="3:7">
      <c r="C27" s="14" t="s">
        <v>45</v>
      </c>
      <c r="D27" s="9"/>
      <c r="E27" s="7"/>
      <c r="F27" s="49"/>
      <c r="G27" s="36"/>
    </row>
    <row r="28" spans="3:7">
      <c r="C28" s="14" t="s">
        <v>77</v>
      </c>
      <c r="D28" s="9">
        <v>500</v>
      </c>
      <c r="E28" s="7"/>
      <c r="F28" s="49">
        <f>D28/E26*100</f>
        <v>20</v>
      </c>
      <c r="G28" s="36"/>
    </row>
    <row r="29" spans="3:7">
      <c r="C29" s="14" t="s">
        <v>78</v>
      </c>
      <c r="D29" s="9">
        <v>2000</v>
      </c>
      <c r="E29" s="7"/>
      <c r="F29" s="49">
        <f>D29/E26*100</f>
        <v>80</v>
      </c>
      <c r="G29" s="36"/>
    </row>
    <row r="30" spans="3:7">
      <c r="C30" s="14" t="s">
        <v>48</v>
      </c>
      <c r="D30" s="9"/>
      <c r="E30" s="7"/>
      <c r="F30" s="49"/>
      <c r="G30" s="36"/>
    </row>
    <row r="31" spans="3:7">
      <c r="C31" s="14" t="s">
        <v>49</v>
      </c>
      <c r="D31" s="9"/>
      <c r="E31" s="7"/>
      <c r="F31" s="49"/>
      <c r="G31" s="36"/>
    </row>
    <row r="32" spans="3:7" ht="15" customHeight="1">
      <c r="C32" s="15" t="s">
        <v>50</v>
      </c>
      <c r="D32" s="16"/>
      <c r="E32" s="17"/>
      <c r="F32" s="47"/>
      <c r="G32" s="35"/>
    </row>
    <row r="33" spans="2:7">
      <c r="C33" s="11" t="s">
        <v>51</v>
      </c>
      <c r="D33" s="12"/>
      <c r="E33" s="18"/>
      <c r="F33" s="48"/>
      <c r="G33" s="33"/>
    </row>
    <row r="34" spans="2:7">
      <c r="C34" s="14" t="s">
        <v>52</v>
      </c>
      <c r="D34" s="9"/>
      <c r="E34" s="7"/>
      <c r="F34" s="49"/>
      <c r="G34" s="36"/>
    </row>
    <row r="35" spans="2:7" ht="15" customHeight="1">
      <c r="C35" s="15" t="s">
        <v>53</v>
      </c>
      <c r="D35" s="16"/>
      <c r="E35" s="17"/>
      <c r="F35" s="47"/>
      <c r="G35" s="35"/>
    </row>
    <row r="36" spans="2:7" ht="15" customHeight="1">
      <c r="B36" s="6" t="s">
        <v>54</v>
      </c>
      <c r="C36" s="19" t="s">
        <v>55</v>
      </c>
      <c r="D36" s="20"/>
      <c r="E36" s="21"/>
      <c r="F36" s="34"/>
      <c r="G36" s="38"/>
    </row>
    <row r="37" spans="2:7">
      <c r="C37" s="11" t="s">
        <v>56</v>
      </c>
      <c r="D37" s="12"/>
      <c r="E37" s="13">
        <f>SUM(D38:D41)</f>
        <v>607248.42000000004</v>
      </c>
      <c r="F37" s="46"/>
      <c r="G37" s="37">
        <f>E37/E51*100</f>
        <v>95.558429493400368</v>
      </c>
    </row>
    <row r="38" spans="2:7">
      <c r="C38" s="14" t="s">
        <v>57</v>
      </c>
      <c r="D38" s="9">
        <v>456017.5</v>
      </c>
      <c r="E38" s="7"/>
      <c r="F38" s="49"/>
      <c r="G38" s="36"/>
    </row>
    <row r="39" spans="2:7">
      <c r="C39" s="14" t="s">
        <v>58</v>
      </c>
      <c r="D39" s="9">
        <v>151230.92000000001</v>
      </c>
      <c r="E39" s="7"/>
      <c r="F39" s="49"/>
      <c r="G39" s="36"/>
    </row>
    <row r="40" spans="2:7">
      <c r="C40" s="14" t="s">
        <v>59</v>
      </c>
      <c r="D40" s="9"/>
      <c r="E40" s="7"/>
      <c r="F40" s="49"/>
      <c r="G40" s="36"/>
    </row>
    <row r="41" spans="2:7" ht="15" customHeight="1">
      <c r="C41" s="15" t="s">
        <v>60</v>
      </c>
      <c r="D41" s="16"/>
      <c r="E41" s="17"/>
      <c r="F41" s="47"/>
      <c r="G41" s="35"/>
    </row>
    <row r="42" spans="2:7" ht="15" customHeight="1">
      <c r="B42" s="6" t="s">
        <v>61</v>
      </c>
      <c r="C42" s="19" t="s">
        <v>62</v>
      </c>
      <c r="D42" s="22"/>
      <c r="E42" s="21"/>
      <c r="F42" s="34"/>
      <c r="G42" s="38"/>
    </row>
    <row r="43" spans="2:7">
      <c r="C43" s="11" t="s">
        <v>63</v>
      </c>
      <c r="D43" s="12"/>
      <c r="E43" s="25">
        <f>SUM(D44:D48)</f>
        <v>22345</v>
      </c>
      <c r="F43" s="50"/>
      <c r="G43" s="37">
        <f>E43/E51*100</f>
        <v>3.5162761016817976</v>
      </c>
    </row>
    <row r="44" spans="2:7">
      <c r="C44" s="14" t="s">
        <v>64</v>
      </c>
      <c r="D44" s="9"/>
      <c r="E44" s="7"/>
      <c r="F44" s="49"/>
      <c r="G44" s="36"/>
    </row>
    <row r="45" spans="2:7">
      <c r="C45" s="14" t="s">
        <v>65</v>
      </c>
      <c r="D45" s="9"/>
      <c r="E45" s="7"/>
      <c r="F45" s="49"/>
      <c r="G45" s="36"/>
    </row>
    <row r="46" spans="2:7">
      <c r="C46" s="14" t="s">
        <v>66</v>
      </c>
      <c r="D46" s="9">
        <v>22345</v>
      </c>
      <c r="E46" s="7"/>
      <c r="F46" s="49"/>
      <c r="G46" s="36"/>
    </row>
    <row r="47" spans="2:7">
      <c r="C47" s="14" t="s">
        <v>67</v>
      </c>
      <c r="D47" s="9"/>
      <c r="E47" s="7"/>
      <c r="F47" s="49"/>
      <c r="G47" s="36"/>
    </row>
    <row r="48" spans="2:7" ht="15" customHeight="1">
      <c r="C48" s="15" t="s">
        <v>68</v>
      </c>
      <c r="D48" s="16"/>
      <c r="E48" s="17"/>
      <c r="F48" s="47"/>
      <c r="G48" s="35"/>
    </row>
    <row r="49" spans="3:7">
      <c r="C49" s="26" t="s">
        <v>69</v>
      </c>
      <c r="D49" s="12"/>
      <c r="E49" s="18"/>
      <c r="F49" s="48"/>
      <c r="G49" s="33"/>
    </row>
    <row r="50" spans="3:7" ht="15" customHeight="1">
      <c r="C50" s="27" t="s">
        <v>70</v>
      </c>
      <c r="D50" s="89"/>
      <c r="E50" s="28"/>
      <c r="F50" s="51"/>
      <c r="G50" s="39"/>
    </row>
    <row r="51" spans="3:7" ht="15" customHeight="1">
      <c r="C51" s="60" t="s">
        <v>71</v>
      </c>
      <c r="D51" s="65"/>
      <c r="E51" s="29">
        <f>SUM(E6:E50)</f>
        <v>635473.42000000004</v>
      </c>
      <c r="F51" s="45"/>
      <c r="G51" s="40">
        <f>SUM(G6:G50)</f>
        <v>100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7B08-DD9F-481B-8B86-04D373328091}">
  <dimension ref="B2:G51"/>
  <sheetViews>
    <sheetView topLeftCell="A34" workbookViewId="0">
      <selection activeCell="K55" sqref="K55"/>
    </sheetView>
  </sheetViews>
  <sheetFormatPr baseColWidth="10" defaultColWidth="11.44140625" defaultRowHeight="14.4"/>
  <cols>
    <col min="1" max="1" width="11.44140625" customWidth="1"/>
    <col min="2" max="2" width="10.88671875" style="5" customWidth="1"/>
    <col min="3" max="3" width="51.109375" customWidth="1"/>
    <col min="4" max="4" width="14.5546875" style="10" bestFit="1" customWidth="1"/>
    <col min="5" max="5" width="12.33203125" bestFit="1" customWidth="1"/>
    <col min="6" max="6" width="12.33203125" style="8" customWidth="1"/>
    <col min="7" max="7" width="10.88671875" style="30" customWidth="1"/>
  </cols>
  <sheetData>
    <row r="2" spans="2:7">
      <c r="C2" s="30" t="s">
        <v>0</v>
      </c>
      <c r="D2" s="30"/>
      <c r="E2" s="30"/>
      <c r="F2" s="30"/>
    </row>
    <row r="3" spans="2:7" ht="15" customHeight="1"/>
    <row r="4" spans="2:7" s="8" customFormat="1">
      <c r="B4" s="8" t="s">
        <v>6</v>
      </c>
      <c r="C4" s="23" t="s">
        <v>72</v>
      </c>
      <c r="D4" s="31" t="s">
        <v>73</v>
      </c>
      <c r="E4" s="32" t="s">
        <v>74</v>
      </c>
      <c r="F4" s="41" t="s">
        <v>75</v>
      </c>
      <c r="G4" s="33" t="s">
        <v>76</v>
      </c>
    </row>
    <row r="5" spans="2:7" ht="15" customHeight="1">
      <c r="C5" s="24" t="s">
        <v>23</v>
      </c>
      <c r="D5" s="16"/>
      <c r="E5" s="17"/>
      <c r="F5" s="47"/>
      <c r="G5" s="35"/>
    </row>
    <row r="6" spans="2:7">
      <c r="C6" s="11" t="s">
        <v>24</v>
      </c>
      <c r="D6" s="12"/>
      <c r="E6" s="13">
        <f>SUM(D7:D9)</f>
        <v>0</v>
      </c>
      <c r="F6" s="48"/>
      <c r="G6" s="33"/>
    </row>
    <row r="7" spans="2:7">
      <c r="C7" s="14" t="s">
        <v>25</v>
      </c>
      <c r="D7" s="9"/>
      <c r="E7" s="7"/>
      <c r="F7" s="49"/>
      <c r="G7" s="36"/>
    </row>
    <row r="8" spans="2:7">
      <c r="C8" s="14" t="s">
        <v>26</v>
      </c>
      <c r="D8" s="9"/>
      <c r="E8" s="7"/>
      <c r="F8" s="49"/>
      <c r="G8" s="36"/>
    </row>
    <row r="9" spans="2:7" ht="15" customHeight="1">
      <c r="C9" s="15" t="s">
        <v>27</v>
      </c>
      <c r="D9" s="16"/>
      <c r="E9" s="17"/>
      <c r="F9" s="47"/>
      <c r="G9" s="35"/>
    </row>
    <row r="10" spans="2:7" ht="15" customHeight="1">
      <c r="C10" s="64" t="s">
        <v>28</v>
      </c>
      <c r="D10" s="65"/>
      <c r="E10" s="70">
        <f>SUM(D11:D25)</f>
        <v>960</v>
      </c>
      <c r="F10" s="55">
        <f>SUM(F11:F25)</f>
        <v>100</v>
      </c>
      <c r="G10" s="71">
        <f>(E10/E51)*100</f>
        <v>0.14913584631998442</v>
      </c>
    </row>
    <row r="11" spans="2:7">
      <c r="C11" s="62" t="s">
        <v>29</v>
      </c>
      <c r="D11" s="63"/>
      <c r="E11" s="67"/>
      <c r="F11" s="68"/>
      <c r="G11" s="69"/>
    </row>
    <row r="12" spans="2:7">
      <c r="C12" s="14" t="s">
        <v>79</v>
      </c>
      <c r="D12" s="9"/>
      <c r="E12" s="43"/>
      <c r="F12" s="56"/>
      <c r="G12" s="53"/>
    </row>
    <row r="13" spans="2:7">
      <c r="C13" s="14" t="s">
        <v>80</v>
      </c>
      <c r="D13" s="9"/>
      <c r="E13" s="43"/>
      <c r="F13" s="56"/>
      <c r="G13" s="53"/>
    </row>
    <row r="14" spans="2:7">
      <c r="C14" s="14" t="s">
        <v>81</v>
      </c>
      <c r="D14" s="9"/>
      <c r="E14" s="43"/>
      <c r="F14" s="57">
        <f>D14/E10*100</f>
        <v>0</v>
      </c>
      <c r="G14" s="53"/>
    </row>
    <row r="15" spans="2:7">
      <c r="C15" s="14" t="s">
        <v>82</v>
      </c>
      <c r="D15" s="9"/>
      <c r="E15" s="43"/>
      <c r="F15" s="56"/>
      <c r="G15" s="53"/>
    </row>
    <row r="16" spans="2:7">
      <c r="C16" s="14" t="s">
        <v>34</v>
      </c>
      <c r="D16" s="9"/>
      <c r="E16" s="43"/>
      <c r="F16" s="56"/>
      <c r="G16" s="53"/>
    </row>
    <row r="17" spans="3:7">
      <c r="C17" s="14" t="s">
        <v>83</v>
      </c>
      <c r="D17" s="9"/>
      <c r="E17" s="43"/>
      <c r="F17" s="56"/>
      <c r="G17" s="53"/>
    </row>
    <row r="18" spans="3:7">
      <c r="C18" s="14" t="s">
        <v>84</v>
      </c>
      <c r="D18" s="9"/>
      <c r="E18" s="43"/>
      <c r="F18" s="57">
        <f>D18/E10*100</f>
        <v>0</v>
      </c>
      <c r="G18" s="53"/>
    </row>
    <row r="19" spans="3:7">
      <c r="C19" s="14" t="s">
        <v>85</v>
      </c>
      <c r="D19" s="9">
        <v>960</v>
      </c>
      <c r="E19" s="43"/>
      <c r="F19" s="57">
        <f>D19/E10*100</f>
        <v>100</v>
      </c>
      <c r="G19" s="53"/>
    </row>
    <row r="20" spans="3:7">
      <c r="C20" s="14" t="s">
        <v>38</v>
      </c>
      <c r="D20" s="9"/>
      <c r="E20" s="43"/>
      <c r="F20" s="56"/>
      <c r="G20" s="53"/>
    </row>
    <row r="21" spans="3:7">
      <c r="C21" s="14" t="s">
        <v>86</v>
      </c>
      <c r="D21" s="9"/>
      <c r="E21" s="43"/>
      <c r="F21" s="56"/>
      <c r="G21" s="53"/>
    </row>
    <row r="22" spans="3:7">
      <c r="C22" s="14" t="s">
        <v>87</v>
      </c>
      <c r="D22" s="9"/>
      <c r="E22" s="43"/>
      <c r="F22" s="57">
        <f>D22/E10*100</f>
        <v>0</v>
      </c>
      <c r="G22" s="53"/>
    </row>
    <row r="23" spans="3:7">
      <c r="C23" s="14" t="s">
        <v>88</v>
      </c>
      <c r="D23" s="9"/>
      <c r="E23" s="43"/>
      <c r="F23" s="56"/>
      <c r="G23" s="53"/>
    </row>
    <row r="24" spans="3:7">
      <c r="C24" s="14" t="s">
        <v>89</v>
      </c>
      <c r="D24" s="9"/>
      <c r="E24" s="43"/>
      <c r="F24" s="56"/>
      <c r="G24" s="53"/>
    </row>
    <row r="25" spans="3:7" ht="15" customHeight="1">
      <c r="C25" s="15" t="s">
        <v>90</v>
      </c>
      <c r="D25" s="16"/>
      <c r="E25" s="42"/>
      <c r="F25" s="58"/>
      <c r="G25" s="54"/>
    </row>
    <row r="26" spans="3:7" ht="15" customHeight="1">
      <c r="C26" s="64" t="s">
        <v>44</v>
      </c>
      <c r="D26" s="65"/>
      <c r="E26" s="76">
        <f>SUM(D27:D32)</f>
        <v>5500</v>
      </c>
      <c r="F26" s="77">
        <f>SUM(F27:F32)</f>
        <v>100</v>
      </c>
      <c r="G26" s="78">
        <f>(E26/E51)*100</f>
        <v>0.85442411954157749</v>
      </c>
    </row>
    <row r="27" spans="3:7">
      <c r="C27" s="72" t="s">
        <v>45</v>
      </c>
      <c r="D27" s="63"/>
      <c r="E27" s="73"/>
      <c r="F27" s="74"/>
      <c r="G27" s="75"/>
    </row>
    <row r="28" spans="3:7">
      <c r="C28" s="14" t="s">
        <v>91</v>
      </c>
      <c r="D28" s="9">
        <v>5000</v>
      </c>
      <c r="E28" s="7"/>
      <c r="F28" s="49">
        <f>D28/E26*100</f>
        <v>90.909090909090907</v>
      </c>
      <c r="G28" s="36"/>
    </row>
    <row r="29" spans="3:7">
      <c r="C29" s="14" t="s">
        <v>92</v>
      </c>
      <c r="D29" s="9">
        <v>500</v>
      </c>
      <c r="E29" s="7"/>
      <c r="F29" s="49">
        <f>D29/E26*100</f>
        <v>9.0909090909090917</v>
      </c>
      <c r="G29" s="36"/>
    </row>
    <row r="30" spans="3:7">
      <c r="C30" s="14" t="s">
        <v>93</v>
      </c>
      <c r="D30" s="9"/>
      <c r="E30" s="7"/>
      <c r="F30" s="49"/>
      <c r="G30" s="36"/>
    </row>
    <row r="31" spans="3:7">
      <c r="C31" s="14" t="s">
        <v>94</v>
      </c>
      <c r="D31" s="9"/>
      <c r="E31" s="7"/>
      <c r="F31" s="49"/>
      <c r="G31" s="36"/>
    </row>
    <row r="32" spans="3:7" ht="15" customHeight="1">
      <c r="C32" s="15" t="s">
        <v>95</v>
      </c>
      <c r="D32" s="16"/>
      <c r="E32" s="17"/>
      <c r="F32" s="47"/>
      <c r="G32" s="35"/>
    </row>
    <row r="33" spans="2:7">
      <c r="C33" s="11" t="s">
        <v>51</v>
      </c>
      <c r="D33" s="12"/>
      <c r="E33" s="18"/>
      <c r="F33" s="48"/>
      <c r="G33" s="33"/>
    </row>
    <row r="34" spans="2:7">
      <c r="C34" s="14" t="s">
        <v>96</v>
      </c>
      <c r="D34" s="9"/>
      <c r="E34" s="7"/>
      <c r="F34" s="49"/>
      <c r="G34" s="36"/>
    </row>
    <row r="35" spans="2:7" ht="15" customHeight="1">
      <c r="C35" s="15" t="s">
        <v>97</v>
      </c>
      <c r="D35" s="16"/>
      <c r="E35" s="17"/>
      <c r="F35" s="47"/>
      <c r="G35" s="35"/>
    </row>
    <row r="36" spans="2:7" ht="15" customHeight="1">
      <c r="B36" s="6" t="s">
        <v>54</v>
      </c>
      <c r="C36" s="19" t="s">
        <v>55</v>
      </c>
      <c r="D36" s="20"/>
      <c r="E36" s="21"/>
      <c r="F36" s="34"/>
      <c r="G36" s="38"/>
    </row>
    <row r="37" spans="2:7">
      <c r="C37" s="11" t="s">
        <v>56</v>
      </c>
      <c r="D37" s="12"/>
      <c r="E37" s="13">
        <f>SUM(D38:D41)</f>
        <v>607248.42000000004</v>
      </c>
      <c r="F37" s="46"/>
      <c r="G37" s="37">
        <f>E37/E51*100</f>
        <v>94.33594483663893</v>
      </c>
    </row>
    <row r="38" spans="2:7">
      <c r="C38" s="14" t="s">
        <v>98</v>
      </c>
      <c r="D38" s="9">
        <v>456017.5</v>
      </c>
      <c r="E38" s="7"/>
      <c r="F38" s="49"/>
      <c r="G38" s="36"/>
    </row>
    <row r="39" spans="2:7">
      <c r="C39" s="14" t="s">
        <v>99</v>
      </c>
      <c r="D39" s="10">
        <v>151230.92000000001</v>
      </c>
      <c r="E39" s="7"/>
      <c r="F39" s="49"/>
      <c r="G39" s="36"/>
    </row>
    <row r="40" spans="2:7">
      <c r="C40" s="14" t="s">
        <v>100</v>
      </c>
      <c r="D40" s="9"/>
      <c r="E40" s="7"/>
      <c r="F40" s="49"/>
      <c r="G40" s="36"/>
    </row>
    <row r="41" spans="2:7" ht="15" customHeight="1">
      <c r="C41" s="15" t="s">
        <v>101</v>
      </c>
      <c r="D41" s="16"/>
      <c r="E41" s="17"/>
      <c r="F41" s="47"/>
      <c r="G41" s="35"/>
    </row>
    <row r="42" spans="2:7" ht="15" customHeight="1">
      <c r="B42" s="6" t="s">
        <v>61</v>
      </c>
      <c r="C42" s="19" t="s">
        <v>62</v>
      </c>
      <c r="D42" s="22"/>
      <c r="E42" s="21"/>
      <c r="F42" s="34"/>
      <c r="G42" s="38"/>
    </row>
    <row r="43" spans="2:7">
      <c r="C43" s="11" t="s">
        <v>63</v>
      </c>
      <c r="D43" s="12"/>
      <c r="E43" s="25">
        <f>SUM(D44:D48)</f>
        <v>30000</v>
      </c>
      <c r="F43" s="50"/>
      <c r="G43" s="37">
        <f>E43/E51*100</f>
        <v>4.6604951974995128</v>
      </c>
    </row>
    <row r="44" spans="2:7">
      <c r="C44" s="14" t="s">
        <v>102</v>
      </c>
      <c r="D44" s="9"/>
      <c r="E44" s="7"/>
      <c r="F44" s="49"/>
      <c r="G44" s="36"/>
    </row>
    <row r="45" spans="2:7">
      <c r="C45" s="14" t="s">
        <v>103</v>
      </c>
      <c r="D45" s="9"/>
      <c r="E45" s="7"/>
      <c r="F45" s="49"/>
      <c r="G45" s="36"/>
    </row>
    <row r="46" spans="2:7">
      <c r="C46" s="14" t="s">
        <v>104</v>
      </c>
      <c r="D46" s="9">
        <v>30000</v>
      </c>
      <c r="E46" s="7"/>
      <c r="F46" s="49"/>
      <c r="G46" s="36"/>
    </row>
    <row r="47" spans="2:7">
      <c r="C47" s="14" t="s">
        <v>105</v>
      </c>
      <c r="D47" s="9"/>
      <c r="E47" s="7"/>
      <c r="F47" s="49"/>
      <c r="G47" s="36"/>
    </row>
    <row r="48" spans="2:7" ht="15" customHeight="1">
      <c r="C48" s="15" t="s">
        <v>68</v>
      </c>
      <c r="D48" s="16"/>
      <c r="E48" s="17"/>
      <c r="F48" s="47"/>
      <c r="G48" s="35"/>
    </row>
    <row r="49" spans="3:7">
      <c r="C49" s="26" t="s">
        <v>69</v>
      </c>
      <c r="D49" s="12"/>
      <c r="E49" s="18"/>
      <c r="F49" s="48"/>
      <c r="G49" s="33"/>
    </row>
    <row r="50" spans="3:7" ht="15" customHeight="1">
      <c r="C50" s="27" t="s">
        <v>70</v>
      </c>
      <c r="D50" s="89"/>
      <c r="E50" s="28"/>
      <c r="F50" s="51"/>
      <c r="G50" s="39"/>
    </row>
    <row r="51" spans="3:7" ht="15" customHeight="1">
      <c r="C51" s="60" t="s">
        <v>71</v>
      </c>
      <c r="D51" s="65"/>
      <c r="E51" s="29">
        <f>SUM(E6:E50)</f>
        <v>643708.42000000004</v>
      </c>
      <c r="F51" s="45"/>
      <c r="G51" s="40">
        <f>SUM(G6:G50)</f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9C68-BA21-47A8-A817-0454739E7510}">
  <sheetPr>
    <tabColor rgb="FFFFC000"/>
  </sheetPr>
  <dimension ref="B2:G51"/>
  <sheetViews>
    <sheetView workbookViewId="0">
      <selection activeCell="E22" sqref="E22"/>
    </sheetView>
  </sheetViews>
  <sheetFormatPr baseColWidth="10" defaultColWidth="11.44140625" defaultRowHeight="14.4"/>
  <cols>
    <col min="1" max="1" width="11.44140625" customWidth="1"/>
    <col min="2" max="2" width="10.88671875" style="5" customWidth="1"/>
    <col min="3" max="3" width="51.109375" customWidth="1"/>
    <col min="4" max="4" width="12.33203125" style="114" bestFit="1" customWidth="1"/>
    <col min="5" max="5" width="12.33203125" bestFit="1" customWidth="1"/>
    <col min="6" max="6" width="12.33203125" style="8" customWidth="1"/>
    <col min="7" max="7" width="10.88671875" style="30" customWidth="1"/>
  </cols>
  <sheetData>
    <row r="2" spans="2:7">
      <c r="C2" s="30" t="s">
        <v>0</v>
      </c>
      <c r="D2" s="115"/>
      <c r="E2" s="30"/>
      <c r="F2" s="30"/>
    </row>
    <row r="3" spans="2:7" ht="15" customHeight="1"/>
    <row r="4" spans="2:7" s="8" customFormat="1">
      <c r="B4" s="8" t="s">
        <v>6</v>
      </c>
      <c r="C4" s="23" t="s">
        <v>72</v>
      </c>
      <c r="D4" s="116" t="s">
        <v>73</v>
      </c>
      <c r="E4" s="32" t="s">
        <v>74</v>
      </c>
      <c r="F4" s="41" t="s">
        <v>75</v>
      </c>
      <c r="G4" s="33" t="s">
        <v>76</v>
      </c>
    </row>
    <row r="5" spans="2:7" ht="15" customHeight="1">
      <c r="C5" s="24" t="s">
        <v>23</v>
      </c>
      <c r="D5" s="117"/>
      <c r="E5" s="17"/>
      <c r="F5" s="47"/>
      <c r="G5" s="35"/>
    </row>
    <row r="6" spans="2:7">
      <c r="C6" s="11" t="s">
        <v>24</v>
      </c>
      <c r="D6" s="118"/>
      <c r="E6" s="13">
        <f>SUM(D7:D9)</f>
        <v>0</v>
      </c>
      <c r="F6" s="48"/>
      <c r="G6" s="33"/>
    </row>
    <row r="7" spans="2:7">
      <c r="C7" s="14" t="s">
        <v>25</v>
      </c>
      <c r="D7" s="119"/>
      <c r="E7" s="7"/>
      <c r="F7" s="49"/>
      <c r="G7" s="36"/>
    </row>
    <row r="8" spans="2:7">
      <c r="C8" s="14" t="s">
        <v>26</v>
      </c>
      <c r="D8" s="119"/>
      <c r="E8" s="7"/>
      <c r="F8" s="49"/>
      <c r="G8" s="36"/>
    </row>
    <row r="9" spans="2:7" ht="15" customHeight="1">
      <c r="C9" s="15" t="s">
        <v>27</v>
      </c>
      <c r="D9" s="117"/>
      <c r="E9" s="17"/>
      <c r="F9" s="47"/>
      <c r="G9" s="35"/>
    </row>
    <row r="10" spans="2:7" ht="15" customHeight="1">
      <c r="C10" s="11" t="s">
        <v>28</v>
      </c>
      <c r="D10" s="118"/>
      <c r="E10" s="44">
        <f>SUM(D11:D25)</f>
        <v>6800</v>
      </c>
      <c r="F10" s="55">
        <f>SUM(F11:F25)</f>
        <v>35.294117647058826</v>
      </c>
      <c r="G10" s="52">
        <f>(E10/E51)*100</f>
        <v>1.1074045268286823</v>
      </c>
    </row>
    <row r="11" spans="2:7">
      <c r="C11" s="66" t="s">
        <v>29</v>
      </c>
      <c r="D11" s="119"/>
      <c r="E11" s="43"/>
      <c r="F11" s="56"/>
      <c r="G11" s="53"/>
    </row>
    <row r="12" spans="2:7">
      <c r="C12" s="14" t="s">
        <v>79</v>
      </c>
      <c r="D12" s="119">
        <v>4400</v>
      </c>
      <c r="E12" s="43"/>
      <c r="F12" s="56"/>
      <c r="G12" s="53"/>
    </row>
    <row r="13" spans="2:7">
      <c r="C13" s="14" t="s">
        <v>80</v>
      </c>
      <c r="D13" s="119"/>
      <c r="E13" s="43"/>
      <c r="F13" s="56"/>
      <c r="G13" s="53"/>
    </row>
    <row r="14" spans="2:7">
      <c r="C14" s="14" t="s">
        <v>81</v>
      </c>
      <c r="D14" s="119"/>
      <c r="E14" s="43"/>
      <c r="F14" s="57">
        <f>D14/E10*100</f>
        <v>0</v>
      </c>
      <c r="G14" s="53"/>
    </row>
    <row r="15" spans="2:7">
      <c r="C15" s="14" t="s">
        <v>82</v>
      </c>
      <c r="D15" s="119"/>
      <c r="E15" s="43"/>
      <c r="F15" s="56"/>
      <c r="G15" s="53"/>
    </row>
    <row r="16" spans="2:7">
      <c r="C16" s="14" t="s">
        <v>34</v>
      </c>
      <c r="D16" s="119"/>
      <c r="E16" s="43"/>
      <c r="F16" s="56"/>
      <c r="G16" s="53"/>
    </row>
    <row r="17" spans="3:7">
      <c r="C17" s="14" t="s">
        <v>83</v>
      </c>
      <c r="D17" s="119"/>
      <c r="E17" s="43"/>
      <c r="F17" s="56"/>
      <c r="G17" s="53"/>
    </row>
    <row r="18" spans="3:7">
      <c r="C18" s="14" t="s">
        <v>84</v>
      </c>
      <c r="D18" s="119">
        <v>480</v>
      </c>
      <c r="E18" s="43"/>
      <c r="F18" s="57">
        <f>D18/E10*100</f>
        <v>7.0588235294117645</v>
      </c>
      <c r="G18" s="53"/>
    </row>
    <row r="19" spans="3:7">
      <c r="C19" s="14" t="s">
        <v>85</v>
      </c>
      <c r="D19" s="119">
        <v>1920</v>
      </c>
      <c r="E19" s="43"/>
      <c r="F19" s="57">
        <f>D19/E10*100</f>
        <v>28.235294117647058</v>
      </c>
      <c r="G19" s="53"/>
    </row>
    <row r="20" spans="3:7">
      <c r="C20" s="14" t="s">
        <v>38</v>
      </c>
      <c r="D20" s="119"/>
      <c r="E20" s="43"/>
      <c r="F20" s="56"/>
      <c r="G20" s="53"/>
    </row>
    <row r="21" spans="3:7">
      <c r="C21" s="14" t="s">
        <v>86</v>
      </c>
      <c r="D21" s="119"/>
      <c r="E21" s="43"/>
      <c r="F21" s="56"/>
      <c r="G21" s="53"/>
    </row>
    <row r="22" spans="3:7">
      <c r="C22" s="14" t="s">
        <v>87</v>
      </c>
      <c r="D22" s="119"/>
      <c r="E22" s="43"/>
      <c r="F22" s="57">
        <f>D22/E10*100</f>
        <v>0</v>
      </c>
      <c r="G22" s="53"/>
    </row>
    <row r="23" spans="3:7">
      <c r="C23" s="14" t="s">
        <v>88</v>
      </c>
      <c r="D23" s="119"/>
      <c r="E23" s="43"/>
      <c r="F23" s="56"/>
      <c r="G23" s="53"/>
    </row>
    <row r="24" spans="3:7">
      <c r="C24" s="14" t="s">
        <v>89</v>
      </c>
      <c r="D24" s="119"/>
      <c r="E24" s="43"/>
      <c r="F24" s="56"/>
      <c r="G24" s="53"/>
    </row>
    <row r="25" spans="3:7" ht="15" customHeight="1">
      <c r="C25" s="15" t="s">
        <v>90</v>
      </c>
      <c r="D25" s="117"/>
      <c r="E25" s="42"/>
      <c r="F25" s="58"/>
      <c r="G25" s="54"/>
    </row>
    <row r="26" spans="3:7">
      <c r="C26" s="11" t="s">
        <v>44</v>
      </c>
      <c r="D26" s="118"/>
      <c r="E26" s="13"/>
      <c r="F26" s="59" t="e">
        <f>SUM(F27:F32)</f>
        <v>#DIV/0!</v>
      </c>
      <c r="G26" s="37">
        <f>(E26/E51)*100</f>
        <v>0</v>
      </c>
    </row>
    <row r="27" spans="3:7">
      <c r="C27" s="14" t="s">
        <v>45</v>
      </c>
      <c r="D27" s="119"/>
      <c r="E27" s="7"/>
      <c r="F27" s="49"/>
      <c r="G27" s="36"/>
    </row>
    <row r="28" spans="3:7">
      <c r="C28" s="14" t="s">
        <v>91</v>
      </c>
      <c r="D28" s="119"/>
      <c r="E28" s="7"/>
      <c r="F28" s="49" t="e">
        <f>D28/E26*100</f>
        <v>#DIV/0!</v>
      </c>
      <c r="G28" s="36"/>
    </row>
    <row r="29" spans="3:7">
      <c r="C29" s="14" t="s">
        <v>92</v>
      </c>
      <c r="D29" s="119"/>
      <c r="E29" s="7"/>
      <c r="F29" s="49" t="e">
        <f>D29/E26*100</f>
        <v>#DIV/0!</v>
      </c>
      <c r="G29" s="36"/>
    </row>
    <row r="30" spans="3:7">
      <c r="C30" s="14" t="s">
        <v>93</v>
      </c>
      <c r="D30" s="119"/>
      <c r="E30" s="7"/>
      <c r="F30" s="49"/>
      <c r="G30" s="36"/>
    </row>
    <row r="31" spans="3:7">
      <c r="C31" s="14" t="s">
        <v>94</v>
      </c>
      <c r="D31" s="119"/>
      <c r="E31" s="7"/>
      <c r="F31" s="49"/>
      <c r="G31" s="36"/>
    </row>
    <row r="32" spans="3:7" ht="15" customHeight="1">
      <c r="C32" s="15" t="s">
        <v>95</v>
      </c>
      <c r="D32" s="117"/>
      <c r="E32" s="17"/>
      <c r="F32" s="47"/>
      <c r="G32" s="35"/>
    </row>
    <row r="33" spans="2:7">
      <c r="C33" s="11" t="s">
        <v>51</v>
      </c>
      <c r="D33" s="118"/>
      <c r="E33" s="18"/>
      <c r="F33" s="48"/>
      <c r="G33" s="33"/>
    </row>
    <row r="34" spans="2:7">
      <c r="C34" s="14" t="s">
        <v>96</v>
      </c>
      <c r="D34" s="119"/>
      <c r="E34" s="7"/>
      <c r="F34" s="49"/>
      <c r="G34" s="36"/>
    </row>
    <row r="35" spans="2:7" ht="15" customHeight="1">
      <c r="C35" s="15" t="s">
        <v>97</v>
      </c>
      <c r="D35" s="117"/>
      <c r="E35" s="17"/>
      <c r="F35" s="47"/>
      <c r="G35" s="35"/>
    </row>
    <row r="36" spans="2:7" ht="15" customHeight="1">
      <c r="B36" s="6" t="s">
        <v>54</v>
      </c>
      <c r="C36" s="19" t="s">
        <v>55</v>
      </c>
      <c r="D36" s="120"/>
      <c r="E36" s="21"/>
      <c r="F36" s="34"/>
      <c r="G36" s="38"/>
    </row>
    <row r="37" spans="2:7">
      <c r="C37" s="11" t="s">
        <v>56</v>
      </c>
      <c r="D37" s="118"/>
      <c r="E37" s="13">
        <f>SUM(D38:D41)</f>
        <v>607248.42000000004</v>
      </c>
      <c r="F37" s="46"/>
      <c r="G37" s="37">
        <f>E37/E51*100</f>
        <v>98.892595473171312</v>
      </c>
    </row>
    <row r="38" spans="2:7">
      <c r="C38" s="14" t="s">
        <v>98</v>
      </c>
      <c r="D38" s="119">
        <v>456017.5</v>
      </c>
      <c r="E38" s="7"/>
      <c r="F38" s="49"/>
      <c r="G38" s="36"/>
    </row>
    <row r="39" spans="2:7">
      <c r="C39" s="14" t="s">
        <v>99</v>
      </c>
      <c r="D39" s="114">
        <v>151230.92000000001</v>
      </c>
      <c r="E39" s="7"/>
      <c r="F39" s="49"/>
      <c r="G39" s="36"/>
    </row>
    <row r="40" spans="2:7">
      <c r="C40" s="14" t="s">
        <v>100</v>
      </c>
      <c r="D40" s="119"/>
      <c r="E40" s="7"/>
      <c r="F40" s="49"/>
      <c r="G40" s="36"/>
    </row>
    <row r="41" spans="2:7" ht="15" customHeight="1">
      <c r="C41" s="15" t="s">
        <v>101</v>
      </c>
      <c r="D41" s="117"/>
      <c r="E41" s="17"/>
      <c r="F41" s="47"/>
      <c r="G41" s="35"/>
    </row>
    <row r="42" spans="2:7" ht="15" customHeight="1">
      <c r="B42" s="6" t="s">
        <v>61</v>
      </c>
      <c r="C42" s="19" t="s">
        <v>62</v>
      </c>
      <c r="D42" s="121"/>
      <c r="E42" s="21"/>
      <c r="F42" s="34"/>
      <c r="G42" s="38"/>
    </row>
    <row r="43" spans="2:7">
      <c r="C43" s="11" t="s">
        <v>63</v>
      </c>
      <c r="D43" s="118"/>
      <c r="E43" s="25">
        <f>SUM(D44:D48)</f>
        <v>0</v>
      </c>
      <c r="F43" s="50"/>
      <c r="G43" s="37">
        <f>E43/E51*100</f>
        <v>0</v>
      </c>
    </row>
    <row r="44" spans="2:7">
      <c r="C44" s="14" t="s">
        <v>102</v>
      </c>
      <c r="D44" s="119"/>
      <c r="E44" s="7"/>
      <c r="F44" s="49"/>
      <c r="G44" s="36"/>
    </row>
    <row r="45" spans="2:7">
      <c r="C45" s="14" t="s">
        <v>103</v>
      </c>
      <c r="D45" s="119"/>
      <c r="E45" s="7"/>
      <c r="F45" s="49"/>
      <c r="G45" s="36"/>
    </row>
    <row r="46" spans="2:7">
      <c r="C46" s="14" t="s">
        <v>104</v>
      </c>
      <c r="D46" s="119"/>
      <c r="E46" s="7"/>
      <c r="F46" s="49"/>
      <c r="G46" s="36"/>
    </row>
    <row r="47" spans="2:7">
      <c r="C47" s="14" t="s">
        <v>105</v>
      </c>
      <c r="D47" s="119"/>
      <c r="E47" s="7"/>
      <c r="F47" s="49"/>
      <c r="G47" s="36"/>
    </row>
    <row r="48" spans="2:7" ht="15" customHeight="1">
      <c r="C48" s="15" t="s">
        <v>68</v>
      </c>
      <c r="D48" s="117"/>
      <c r="E48" s="17"/>
      <c r="F48" s="47"/>
      <c r="G48" s="35"/>
    </row>
    <row r="49" spans="3:7">
      <c r="C49" s="26" t="s">
        <v>69</v>
      </c>
      <c r="D49" s="118"/>
      <c r="E49" s="18"/>
      <c r="F49" s="48"/>
      <c r="G49" s="33"/>
    </row>
    <row r="50" spans="3:7" ht="15" customHeight="1">
      <c r="C50" s="27" t="s">
        <v>70</v>
      </c>
      <c r="D50" s="122"/>
      <c r="E50" s="28"/>
      <c r="F50" s="51"/>
      <c r="G50" s="39"/>
    </row>
    <row r="51" spans="3:7" ht="15" customHeight="1">
      <c r="C51" s="60" t="s">
        <v>71</v>
      </c>
      <c r="D51" s="123"/>
      <c r="E51" s="29">
        <f>SUM(E6:E50)</f>
        <v>614048.42000000004</v>
      </c>
      <c r="F51" s="45"/>
      <c r="G51" s="40">
        <f>SUM(G6:G50)</f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F70B-DFAD-400B-8B67-AFE439D6D5CB}">
  <dimension ref="B2:G51"/>
  <sheetViews>
    <sheetView topLeftCell="A29" workbookViewId="0">
      <selection activeCell="E22" sqref="E22"/>
    </sheetView>
  </sheetViews>
  <sheetFormatPr baseColWidth="10" defaultColWidth="11.44140625" defaultRowHeight="14.4"/>
  <cols>
    <col min="1" max="1" width="11.44140625" customWidth="1"/>
    <col min="2" max="2" width="11.5546875" style="5" customWidth="1"/>
    <col min="3" max="3" width="51.109375" customWidth="1"/>
    <col min="4" max="4" width="12.33203125" style="10" bestFit="1" customWidth="1"/>
    <col min="5" max="5" width="12.33203125" bestFit="1" customWidth="1"/>
    <col min="6" max="6" width="12.33203125" style="8" customWidth="1"/>
    <col min="7" max="7" width="11.5546875" style="30" customWidth="1"/>
  </cols>
  <sheetData>
    <row r="2" spans="2:7">
      <c r="C2" s="30" t="s">
        <v>0</v>
      </c>
      <c r="D2" s="30"/>
      <c r="E2" s="30"/>
      <c r="F2" s="30"/>
    </row>
    <row r="3" spans="2:7" ht="15" customHeight="1"/>
    <row r="4" spans="2:7" s="8" customFormat="1">
      <c r="B4" s="8" t="s">
        <v>6</v>
      </c>
      <c r="C4" s="23" t="s">
        <v>72</v>
      </c>
      <c r="D4" s="31" t="s">
        <v>73</v>
      </c>
      <c r="E4" s="32" t="s">
        <v>74</v>
      </c>
      <c r="F4" s="41" t="s">
        <v>75</v>
      </c>
      <c r="G4" s="33" t="s">
        <v>76</v>
      </c>
    </row>
    <row r="5" spans="2:7" ht="15" customHeight="1">
      <c r="C5" s="24" t="s">
        <v>23</v>
      </c>
      <c r="D5" s="16"/>
      <c r="E5" s="17"/>
      <c r="F5" s="47"/>
      <c r="G5" s="35"/>
    </row>
    <row r="6" spans="2:7">
      <c r="C6" s="11" t="s">
        <v>24</v>
      </c>
      <c r="D6" s="12"/>
      <c r="E6" s="13">
        <f>SUM(D7:D9)</f>
        <v>2500</v>
      </c>
      <c r="F6" s="48"/>
      <c r="G6" s="33"/>
    </row>
    <row r="7" spans="2:7">
      <c r="C7" s="14" t="s">
        <v>25</v>
      </c>
      <c r="D7" s="9"/>
      <c r="E7" s="7"/>
      <c r="F7" s="49"/>
      <c r="G7" s="36"/>
    </row>
    <row r="8" spans="2:7">
      <c r="C8" s="14" t="s">
        <v>106</v>
      </c>
      <c r="D8" s="9">
        <v>2500</v>
      </c>
      <c r="E8" s="7"/>
      <c r="F8" s="49"/>
      <c r="G8" s="36"/>
    </row>
    <row r="9" spans="2:7" ht="15" customHeight="1">
      <c r="C9" s="15" t="s">
        <v>107</v>
      </c>
      <c r="D9" s="16"/>
      <c r="E9" s="17"/>
      <c r="F9" s="47"/>
      <c r="G9" s="35"/>
    </row>
    <row r="10" spans="2:7" ht="15" customHeight="1">
      <c r="C10" s="11" t="s">
        <v>28</v>
      </c>
      <c r="D10" s="12"/>
      <c r="E10" s="44">
        <f>SUM(D11:D25)</f>
        <v>480</v>
      </c>
      <c r="F10" s="55">
        <f>SUM(F11:F25)</f>
        <v>100</v>
      </c>
      <c r="G10" s="52">
        <f>(E10/E51)*100</f>
        <v>7.7328502578816946E-2</v>
      </c>
    </row>
    <row r="11" spans="2:7">
      <c r="C11" s="66" t="s">
        <v>29</v>
      </c>
      <c r="D11" s="9"/>
      <c r="E11" s="43"/>
      <c r="F11" s="56"/>
      <c r="G11" s="53"/>
    </row>
    <row r="12" spans="2:7">
      <c r="C12" s="14" t="s">
        <v>79</v>
      </c>
      <c r="D12" s="9"/>
      <c r="E12" s="43"/>
      <c r="F12" s="56"/>
      <c r="G12" s="53"/>
    </row>
    <row r="13" spans="2:7">
      <c r="C13" s="14" t="s">
        <v>108</v>
      </c>
      <c r="D13" s="9"/>
      <c r="E13" s="43"/>
      <c r="F13" s="56"/>
      <c r="G13" s="53"/>
    </row>
    <row r="14" spans="2:7">
      <c r="C14" s="14" t="s">
        <v>109</v>
      </c>
      <c r="D14" s="9"/>
      <c r="E14" s="43"/>
      <c r="F14" s="57">
        <f>D14/E10*100</f>
        <v>0</v>
      </c>
      <c r="G14" s="53"/>
    </row>
    <row r="15" spans="2:7">
      <c r="C15" s="14" t="s">
        <v>82</v>
      </c>
      <c r="D15" s="9"/>
      <c r="E15" s="43"/>
      <c r="F15" s="56"/>
      <c r="G15" s="53"/>
    </row>
    <row r="16" spans="2:7">
      <c r="C16" s="14" t="s">
        <v>34</v>
      </c>
      <c r="D16" s="9"/>
      <c r="E16" s="43"/>
      <c r="F16" s="56"/>
      <c r="G16" s="53"/>
    </row>
    <row r="17" spans="3:7">
      <c r="C17" s="14" t="s">
        <v>83</v>
      </c>
      <c r="D17" s="9"/>
      <c r="E17" s="43"/>
      <c r="F17" s="56"/>
      <c r="G17" s="53"/>
    </row>
    <row r="18" spans="3:7">
      <c r="C18" s="14" t="s">
        <v>84</v>
      </c>
      <c r="D18" s="9"/>
      <c r="E18" s="43"/>
      <c r="F18" s="57">
        <f>D18/E10*100</f>
        <v>0</v>
      </c>
      <c r="G18" s="53"/>
    </row>
    <row r="19" spans="3:7">
      <c r="C19" s="14" t="s">
        <v>110</v>
      </c>
      <c r="D19" s="9">
        <v>480</v>
      </c>
      <c r="E19" s="43"/>
      <c r="F19" s="57">
        <f>D19/E10*100</f>
        <v>100</v>
      </c>
      <c r="G19" s="53"/>
    </row>
    <row r="20" spans="3:7">
      <c r="C20" s="14" t="s">
        <v>38</v>
      </c>
      <c r="D20" s="9"/>
      <c r="E20" s="43"/>
      <c r="F20" s="56"/>
      <c r="G20" s="53"/>
    </row>
    <row r="21" spans="3:7">
      <c r="C21" s="14" t="s">
        <v>86</v>
      </c>
      <c r="D21" s="9"/>
      <c r="E21" s="43"/>
      <c r="F21" s="56"/>
      <c r="G21" s="53"/>
    </row>
    <row r="22" spans="3:7">
      <c r="C22" s="14" t="s">
        <v>87</v>
      </c>
      <c r="D22" s="9"/>
      <c r="E22" s="43"/>
      <c r="F22" s="57">
        <f>D22/E10*100</f>
        <v>0</v>
      </c>
      <c r="G22" s="53"/>
    </row>
    <row r="23" spans="3:7">
      <c r="C23" s="14" t="s">
        <v>88</v>
      </c>
      <c r="D23" s="9"/>
      <c r="E23" s="43"/>
      <c r="F23" s="56"/>
      <c r="G23" s="53"/>
    </row>
    <row r="24" spans="3:7">
      <c r="C24" s="14" t="s">
        <v>89</v>
      </c>
      <c r="D24" s="9"/>
      <c r="E24" s="43"/>
      <c r="F24" s="56"/>
      <c r="G24" s="53"/>
    </row>
    <row r="25" spans="3:7" ht="15" customHeight="1">
      <c r="C25" s="15" t="s">
        <v>90</v>
      </c>
      <c r="D25" s="16"/>
      <c r="E25" s="42"/>
      <c r="F25" s="58"/>
      <c r="G25" s="54"/>
    </row>
    <row r="26" spans="3:7">
      <c r="C26" s="11" t="s">
        <v>44</v>
      </c>
      <c r="D26" s="12"/>
      <c r="E26" s="13">
        <f>SUM(D27:D32)</f>
        <v>10500</v>
      </c>
      <c r="F26" s="59">
        <f>SUM(F27:F32)</f>
        <v>100</v>
      </c>
      <c r="G26" s="37">
        <f>(E26/E51)*100</f>
        <v>1.6915609939116207</v>
      </c>
    </row>
    <row r="27" spans="3:7">
      <c r="C27" s="14" t="s">
        <v>45</v>
      </c>
      <c r="D27" s="9"/>
      <c r="E27" s="7"/>
      <c r="F27" s="49"/>
      <c r="G27" s="36"/>
    </row>
    <row r="28" spans="3:7">
      <c r="C28" s="14" t="s">
        <v>111</v>
      </c>
      <c r="D28" s="9">
        <v>9000</v>
      </c>
      <c r="E28" s="7"/>
      <c r="F28" s="49">
        <f>D28/E26*100</f>
        <v>85.714285714285708</v>
      </c>
      <c r="G28" s="36"/>
    </row>
    <row r="29" spans="3:7">
      <c r="C29" s="14" t="s">
        <v>112</v>
      </c>
      <c r="D29" s="9">
        <v>1500</v>
      </c>
      <c r="E29" s="7"/>
      <c r="F29" s="49">
        <f>D29/E26*100</f>
        <v>14.285714285714285</v>
      </c>
      <c r="G29" s="36"/>
    </row>
    <row r="30" spans="3:7">
      <c r="C30" s="14" t="s">
        <v>93</v>
      </c>
      <c r="D30" s="9"/>
      <c r="E30" s="7"/>
      <c r="F30" s="49"/>
      <c r="G30" s="36"/>
    </row>
    <row r="31" spans="3:7">
      <c r="C31" s="14" t="s">
        <v>113</v>
      </c>
      <c r="D31" s="9"/>
      <c r="E31" s="7"/>
      <c r="F31" s="49"/>
      <c r="G31" s="36"/>
    </row>
    <row r="32" spans="3:7" ht="15" customHeight="1">
      <c r="C32" s="15" t="s">
        <v>114</v>
      </c>
      <c r="D32" s="16"/>
      <c r="E32" s="17"/>
      <c r="F32" s="47"/>
      <c r="G32" s="35"/>
    </row>
    <row r="33" spans="2:7">
      <c r="C33" s="11" t="s">
        <v>51</v>
      </c>
      <c r="D33" s="12"/>
      <c r="E33" s="18"/>
      <c r="F33" s="48"/>
      <c r="G33" s="33"/>
    </row>
    <row r="34" spans="2:7">
      <c r="C34" s="14" t="s">
        <v>96</v>
      </c>
      <c r="D34" s="9"/>
      <c r="E34" s="7"/>
      <c r="F34" s="49"/>
      <c r="G34" s="36"/>
    </row>
    <row r="35" spans="2:7" ht="15" customHeight="1">
      <c r="C35" s="15" t="s">
        <v>97</v>
      </c>
      <c r="D35" s="16"/>
      <c r="E35" s="17"/>
      <c r="F35" s="47"/>
      <c r="G35" s="35"/>
    </row>
    <row r="36" spans="2:7" ht="15" customHeight="1">
      <c r="B36" s="6" t="s">
        <v>54</v>
      </c>
      <c r="C36" s="19" t="s">
        <v>55</v>
      </c>
      <c r="D36" s="20"/>
      <c r="E36" s="21"/>
      <c r="F36" s="34"/>
      <c r="G36" s="38"/>
    </row>
    <row r="37" spans="2:7">
      <c r="C37" s="11" t="s">
        <v>56</v>
      </c>
      <c r="D37" s="12"/>
      <c r="E37" s="13">
        <f>SUM(D38:D41)</f>
        <v>607248.43000000005</v>
      </c>
      <c r="F37" s="46"/>
      <c r="G37" s="37">
        <f>E37/E51*100</f>
        <v>97.828357885911558</v>
      </c>
    </row>
    <row r="38" spans="2:7">
      <c r="C38" s="14" t="s">
        <v>98</v>
      </c>
      <c r="D38" s="9">
        <v>456017.51</v>
      </c>
      <c r="E38" s="7"/>
      <c r="F38" s="49"/>
      <c r="G38" s="36"/>
    </row>
    <row r="39" spans="2:7">
      <c r="C39" s="14" t="s">
        <v>99</v>
      </c>
      <c r="D39" s="10">
        <v>151230.92000000001</v>
      </c>
      <c r="E39" s="7"/>
      <c r="F39" s="49"/>
      <c r="G39" s="36"/>
    </row>
    <row r="40" spans="2:7">
      <c r="C40" s="14" t="s">
        <v>100</v>
      </c>
      <c r="D40" s="9"/>
      <c r="E40" s="7"/>
      <c r="F40" s="49"/>
      <c r="G40" s="36"/>
    </row>
    <row r="41" spans="2:7" ht="15" customHeight="1">
      <c r="C41" s="15" t="s">
        <v>101</v>
      </c>
      <c r="D41" s="16"/>
      <c r="E41" s="17"/>
      <c r="F41" s="47"/>
      <c r="G41" s="35"/>
    </row>
    <row r="42" spans="2:7" ht="15" customHeight="1">
      <c r="B42" s="6" t="s">
        <v>61</v>
      </c>
      <c r="C42" s="19" t="s">
        <v>62</v>
      </c>
      <c r="D42" s="22"/>
      <c r="E42" s="21"/>
      <c r="F42" s="34"/>
      <c r="G42" s="38"/>
    </row>
    <row r="43" spans="2:7">
      <c r="C43" s="11" t="s">
        <v>63</v>
      </c>
      <c r="D43" s="12"/>
      <c r="E43" s="25">
        <f>SUM(D44:D48)</f>
        <v>0</v>
      </c>
      <c r="F43" s="50"/>
      <c r="G43" s="37">
        <f>E43/E51*100</f>
        <v>0</v>
      </c>
    </row>
    <row r="44" spans="2:7">
      <c r="C44" s="14" t="s">
        <v>102</v>
      </c>
      <c r="D44" s="9"/>
      <c r="E44" s="7"/>
      <c r="F44" s="49"/>
      <c r="G44" s="36"/>
    </row>
    <row r="45" spans="2:7">
      <c r="C45" s="14" t="s">
        <v>103</v>
      </c>
      <c r="D45" s="9"/>
      <c r="E45" s="7"/>
      <c r="F45" s="49"/>
      <c r="G45" s="36"/>
    </row>
    <row r="46" spans="2:7">
      <c r="C46" s="14" t="s">
        <v>104</v>
      </c>
      <c r="D46" s="9"/>
      <c r="E46" s="7"/>
      <c r="F46" s="49"/>
      <c r="G46" s="36"/>
    </row>
    <row r="47" spans="2:7">
      <c r="C47" s="14" t="s">
        <v>105</v>
      </c>
      <c r="D47" s="9"/>
      <c r="E47" s="7"/>
      <c r="F47" s="49"/>
      <c r="G47" s="36"/>
    </row>
    <row r="48" spans="2:7" ht="15" customHeight="1">
      <c r="C48" s="15" t="s">
        <v>68</v>
      </c>
      <c r="D48" s="16"/>
      <c r="E48" s="17"/>
      <c r="F48" s="47"/>
      <c r="G48" s="35"/>
    </row>
    <row r="49" spans="3:7">
      <c r="C49" s="26" t="s">
        <v>69</v>
      </c>
      <c r="D49" s="12"/>
      <c r="E49" s="18"/>
      <c r="F49" s="48"/>
      <c r="G49" s="33"/>
    </row>
    <row r="50" spans="3:7" ht="15" customHeight="1">
      <c r="C50" s="27" t="s">
        <v>115</v>
      </c>
      <c r="D50" s="89"/>
      <c r="E50" s="28"/>
      <c r="F50" s="51"/>
      <c r="G50" s="39"/>
    </row>
    <row r="51" spans="3:7" ht="15" customHeight="1">
      <c r="C51" s="60" t="s">
        <v>71</v>
      </c>
      <c r="D51" s="65"/>
      <c r="E51" s="29">
        <f>SUM(E6:E50)</f>
        <v>620728.43000000005</v>
      </c>
      <c r="F51" s="45"/>
      <c r="G51" s="40">
        <f>SUM(G6:G50)</f>
        <v>99.597247382401989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41D6-5F65-44A3-8BF3-FFE13D6FC386}">
  <dimension ref="B2:G51"/>
  <sheetViews>
    <sheetView topLeftCell="A39" workbookViewId="0">
      <selection activeCell="D5" sqref="D5 D5:D51"/>
    </sheetView>
  </sheetViews>
  <sheetFormatPr baseColWidth="10" defaultColWidth="11.44140625" defaultRowHeight="14.4"/>
  <cols>
    <col min="1" max="1" width="11.44140625" customWidth="1"/>
    <col min="2" max="2" width="11.5546875" style="5" customWidth="1"/>
    <col min="3" max="3" width="51.109375" customWidth="1"/>
    <col min="4" max="4" width="12.33203125" style="10" bestFit="1" customWidth="1"/>
    <col min="5" max="5" width="12.33203125" bestFit="1" customWidth="1"/>
    <col min="6" max="6" width="12.33203125" style="8" customWidth="1"/>
    <col min="7" max="7" width="11.5546875" style="30" customWidth="1"/>
  </cols>
  <sheetData>
    <row r="2" spans="2:7">
      <c r="C2" s="30" t="s">
        <v>0</v>
      </c>
      <c r="D2" s="30"/>
      <c r="E2" s="30"/>
      <c r="F2" s="30"/>
    </row>
    <row r="3" spans="2:7" ht="15" customHeight="1"/>
    <row r="4" spans="2:7" s="8" customFormat="1">
      <c r="B4" s="8" t="s">
        <v>6</v>
      </c>
      <c r="C4" s="23" t="s">
        <v>72</v>
      </c>
      <c r="D4" s="31" t="s">
        <v>73</v>
      </c>
      <c r="E4" s="32" t="s">
        <v>74</v>
      </c>
      <c r="F4" s="41" t="s">
        <v>75</v>
      </c>
      <c r="G4" s="33" t="s">
        <v>76</v>
      </c>
    </row>
    <row r="5" spans="2:7" ht="15" customHeight="1">
      <c r="C5" s="24" t="s">
        <v>23</v>
      </c>
      <c r="D5" s="16"/>
      <c r="E5" s="17"/>
      <c r="F5" s="47"/>
      <c r="G5" s="35"/>
    </row>
    <row r="6" spans="2:7">
      <c r="C6" s="11" t="s">
        <v>24</v>
      </c>
      <c r="D6" s="12"/>
      <c r="E6" s="13">
        <f>SUM(D7:D9)</f>
        <v>0</v>
      </c>
      <c r="F6" s="48"/>
      <c r="G6" s="33"/>
    </row>
    <row r="7" spans="2:7">
      <c r="C7" s="14" t="s">
        <v>25</v>
      </c>
      <c r="D7" s="9"/>
      <c r="E7" s="7"/>
      <c r="F7" s="49"/>
      <c r="G7" s="36"/>
    </row>
    <row r="8" spans="2:7">
      <c r="C8" s="14" t="s">
        <v>106</v>
      </c>
      <c r="D8" s="9"/>
      <c r="E8" s="7"/>
      <c r="F8" s="49"/>
      <c r="G8" s="36"/>
    </row>
    <row r="9" spans="2:7" ht="15" customHeight="1">
      <c r="C9" s="15" t="s">
        <v>107</v>
      </c>
      <c r="D9" s="16"/>
      <c r="E9" s="17"/>
      <c r="F9" s="47"/>
      <c r="G9" s="35"/>
    </row>
    <row r="10" spans="2:7" ht="15" customHeight="1">
      <c r="C10" s="11" t="s">
        <v>28</v>
      </c>
      <c r="D10" s="12"/>
      <c r="E10" s="44">
        <f>SUM(D11:D25)</f>
        <v>3300</v>
      </c>
      <c r="F10" s="55">
        <f>SUM(F11:F25)</f>
        <v>72.72727272727272</v>
      </c>
      <c r="G10" s="52">
        <f>(E10/E51)*100</f>
        <v>0.53741689397365611</v>
      </c>
    </row>
    <row r="11" spans="2:7">
      <c r="C11" s="66" t="s">
        <v>29</v>
      </c>
      <c r="D11" s="9"/>
      <c r="E11" s="43"/>
      <c r="F11" s="56"/>
      <c r="G11" s="53"/>
    </row>
    <row r="12" spans="2:7">
      <c r="C12" s="14" t="s">
        <v>79</v>
      </c>
      <c r="D12" s="9">
        <v>900</v>
      </c>
      <c r="E12" s="43"/>
      <c r="F12" s="56"/>
      <c r="G12" s="53"/>
    </row>
    <row r="13" spans="2:7">
      <c r="C13" s="14" t="s">
        <v>108</v>
      </c>
      <c r="D13" s="9"/>
      <c r="E13" s="43"/>
      <c r="F13" s="56"/>
      <c r="G13" s="53"/>
    </row>
    <row r="14" spans="2:7">
      <c r="C14" s="14" t="s">
        <v>109</v>
      </c>
      <c r="D14" s="9">
        <v>480</v>
      </c>
      <c r="E14" s="43"/>
      <c r="F14" s="57">
        <f>D14/E10*100</f>
        <v>14.545454545454545</v>
      </c>
      <c r="G14" s="53"/>
    </row>
    <row r="15" spans="2:7">
      <c r="C15" s="14" t="s">
        <v>82</v>
      </c>
      <c r="D15" s="9"/>
      <c r="E15" s="43"/>
      <c r="F15" s="56"/>
      <c r="G15" s="53"/>
    </row>
    <row r="16" spans="2:7">
      <c r="C16" s="14" t="s">
        <v>34</v>
      </c>
      <c r="D16" s="9"/>
      <c r="E16" s="43"/>
      <c r="F16" s="56"/>
      <c r="G16" s="53"/>
    </row>
    <row r="17" spans="3:7">
      <c r="C17" s="14" t="s">
        <v>83</v>
      </c>
      <c r="D17" s="9"/>
      <c r="E17" s="43"/>
      <c r="F17" s="56"/>
      <c r="G17" s="53"/>
    </row>
    <row r="18" spans="3:7">
      <c r="C18" s="14" t="s">
        <v>84</v>
      </c>
      <c r="D18" s="9">
        <v>480</v>
      </c>
      <c r="E18" s="43"/>
      <c r="F18" s="57">
        <f>D18/E10*100</f>
        <v>14.545454545454545</v>
      </c>
      <c r="G18" s="53"/>
    </row>
    <row r="19" spans="3:7">
      <c r="C19" s="14" t="s">
        <v>110</v>
      </c>
      <c r="D19" s="9">
        <v>1440</v>
      </c>
      <c r="E19" s="43"/>
      <c r="F19" s="57">
        <f>D19/E10*100</f>
        <v>43.636363636363633</v>
      </c>
      <c r="G19" s="53"/>
    </row>
    <row r="20" spans="3:7">
      <c r="C20" s="14" t="s">
        <v>38</v>
      </c>
      <c r="D20" s="9"/>
      <c r="E20" s="43"/>
      <c r="F20" s="56"/>
      <c r="G20" s="53"/>
    </row>
    <row r="21" spans="3:7">
      <c r="C21" s="14" t="s">
        <v>86</v>
      </c>
      <c r="D21" s="9"/>
      <c r="E21" s="43"/>
      <c r="F21" s="56"/>
      <c r="G21" s="53"/>
    </row>
    <row r="22" spans="3:7">
      <c r="C22" s="14" t="s">
        <v>87</v>
      </c>
      <c r="D22" s="9"/>
      <c r="E22" s="43"/>
      <c r="F22" s="57">
        <f>D22/E10*100</f>
        <v>0</v>
      </c>
      <c r="G22" s="53"/>
    </row>
    <row r="23" spans="3:7">
      <c r="C23" s="14" t="s">
        <v>88</v>
      </c>
      <c r="D23" s="9"/>
      <c r="E23" s="43"/>
      <c r="F23" s="56"/>
      <c r="G23" s="53"/>
    </row>
    <row r="24" spans="3:7">
      <c r="C24" s="14" t="s">
        <v>89</v>
      </c>
      <c r="D24" s="9"/>
      <c r="E24" s="43"/>
      <c r="F24" s="56"/>
      <c r="G24" s="53"/>
    </row>
    <row r="25" spans="3:7" ht="15" customHeight="1">
      <c r="C25" s="15" t="s">
        <v>90</v>
      </c>
      <c r="D25" s="16"/>
      <c r="E25" s="42"/>
      <c r="F25" s="58"/>
      <c r="G25" s="54"/>
    </row>
    <row r="26" spans="3:7">
      <c r="C26" s="11" t="s">
        <v>44</v>
      </c>
      <c r="D26" s="12"/>
      <c r="E26" s="13">
        <f>SUM(D27:D32)</f>
        <v>3500</v>
      </c>
      <c r="F26" s="59">
        <f>SUM(F27:F32)</f>
        <v>100</v>
      </c>
      <c r="G26" s="37">
        <f>(E26/E51)*100</f>
        <v>0.56998761482054427</v>
      </c>
    </row>
    <row r="27" spans="3:7">
      <c r="C27" s="14" t="s">
        <v>45</v>
      </c>
      <c r="D27" s="9"/>
      <c r="E27" s="7"/>
      <c r="F27" s="49"/>
      <c r="G27" s="36"/>
    </row>
    <row r="28" spans="3:7">
      <c r="C28" s="14" t="s">
        <v>111</v>
      </c>
      <c r="D28" s="9">
        <v>3500</v>
      </c>
      <c r="E28" s="7"/>
      <c r="F28" s="49">
        <f>D28/E26*100</f>
        <v>100</v>
      </c>
      <c r="G28" s="36"/>
    </row>
    <row r="29" spans="3:7">
      <c r="C29" s="14" t="s">
        <v>112</v>
      </c>
      <c r="D29" s="9"/>
      <c r="E29" s="7"/>
      <c r="F29" s="49">
        <f>D29/E26*100</f>
        <v>0</v>
      </c>
      <c r="G29" s="36"/>
    </row>
    <row r="30" spans="3:7">
      <c r="C30" s="14" t="s">
        <v>93</v>
      </c>
      <c r="D30" s="9"/>
      <c r="E30" s="7"/>
      <c r="F30" s="49"/>
      <c r="G30" s="36"/>
    </row>
    <row r="31" spans="3:7">
      <c r="C31" s="14" t="s">
        <v>113</v>
      </c>
      <c r="D31" s="9"/>
      <c r="E31" s="7"/>
      <c r="F31" s="49"/>
      <c r="G31" s="36"/>
    </row>
    <row r="32" spans="3:7" ht="15" customHeight="1">
      <c r="C32" s="15" t="s">
        <v>114</v>
      </c>
      <c r="D32" s="16"/>
      <c r="E32" s="17"/>
      <c r="F32" s="47"/>
      <c r="G32" s="35"/>
    </row>
    <row r="33" spans="2:7">
      <c r="C33" s="11" t="s">
        <v>51</v>
      </c>
      <c r="D33" s="12"/>
      <c r="E33" s="18"/>
      <c r="F33" s="48"/>
      <c r="G33" s="33"/>
    </row>
    <row r="34" spans="2:7">
      <c r="C34" s="14" t="s">
        <v>96</v>
      </c>
      <c r="D34" s="9"/>
      <c r="E34" s="7"/>
      <c r="F34" s="49"/>
      <c r="G34" s="36"/>
    </row>
    <row r="35" spans="2:7" ht="15" customHeight="1">
      <c r="C35" s="15" t="s">
        <v>97</v>
      </c>
      <c r="D35" s="16"/>
      <c r="E35" s="17"/>
      <c r="F35" s="47"/>
      <c r="G35" s="35"/>
    </row>
    <row r="36" spans="2:7" ht="15" customHeight="1">
      <c r="B36" s="6" t="s">
        <v>54</v>
      </c>
      <c r="C36" s="19" t="s">
        <v>55</v>
      </c>
      <c r="D36" s="20"/>
      <c r="E36" s="21"/>
      <c r="F36" s="34"/>
      <c r="G36" s="38"/>
    </row>
    <row r="37" spans="2:7">
      <c r="C37" s="11" t="s">
        <v>56</v>
      </c>
      <c r="D37" s="12"/>
      <c r="E37" s="13">
        <f>SUM(D38:D41)</f>
        <v>607248.43000000005</v>
      </c>
      <c r="F37" s="46"/>
      <c r="G37" s="37">
        <f>E37/E51*100</f>
        <v>98.89259549120581</v>
      </c>
    </row>
    <row r="38" spans="2:7">
      <c r="C38" s="14" t="s">
        <v>98</v>
      </c>
      <c r="D38" s="9">
        <v>456017.51</v>
      </c>
      <c r="E38" s="7"/>
      <c r="F38" s="49"/>
      <c r="G38" s="36"/>
    </row>
    <row r="39" spans="2:7">
      <c r="C39" s="14" t="s">
        <v>99</v>
      </c>
      <c r="D39" s="10">
        <v>151230.92000000001</v>
      </c>
      <c r="E39" s="7"/>
      <c r="F39" s="49"/>
      <c r="G39" s="36"/>
    </row>
    <row r="40" spans="2:7">
      <c r="C40" s="14" t="s">
        <v>100</v>
      </c>
      <c r="D40" s="9"/>
      <c r="E40" s="7"/>
      <c r="F40" s="49"/>
      <c r="G40" s="36"/>
    </row>
    <row r="41" spans="2:7" ht="15" customHeight="1">
      <c r="C41" s="15" t="s">
        <v>101</v>
      </c>
      <c r="D41" s="16"/>
      <c r="E41" s="17"/>
      <c r="F41" s="47"/>
      <c r="G41" s="35"/>
    </row>
    <row r="42" spans="2:7" ht="15" customHeight="1">
      <c r="B42" s="6" t="s">
        <v>61</v>
      </c>
      <c r="C42" s="19" t="s">
        <v>62</v>
      </c>
      <c r="D42" s="22"/>
      <c r="E42" s="21"/>
      <c r="F42" s="34"/>
      <c r="G42" s="38"/>
    </row>
    <row r="43" spans="2:7">
      <c r="C43" s="11" t="s">
        <v>63</v>
      </c>
      <c r="D43" s="12"/>
      <c r="E43" s="25">
        <f>SUM(D44:D48)</f>
        <v>0</v>
      </c>
      <c r="F43" s="50"/>
      <c r="G43" s="37">
        <f>E43/E51*100</f>
        <v>0</v>
      </c>
    </row>
    <row r="44" spans="2:7">
      <c r="C44" s="14" t="s">
        <v>102</v>
      </c>
      <c r="D44" s="9"/>
      <c r="E44" s="7"/>
      <c r="F44" s="49"/>
      <c r="G44" s="36"/>
    </row>
    <row r="45" spans="2:7">
      <c r="C45" s="14" t="s">
        <v>103</v>
      </c>
      <c r="D45" s="9"/>
      <c r="E45" s="7"/>
      <c r="F45" s="49"/>
      <c r="G45" s="36"/>
    </row>
    <row r="46" spans="2:7">
      <c r="C46" s="14" t="s">
        <v>104</v>
      </c>
      <c r="D46" s="9"/>
      <c r="E46" s="7"/>
      <c r="F46" s="49"/>
      <c r="G46" s="36"/>
    </row>
    <row r="47" spans="2:7">
      <c r="C47" s="14" t="s">
        <v>105</v>
      </c>
      <c r="D47" s="9"/>
      <c r="E47" s="7"/>
      <c r="F47" s="49"/>
      <c r="G47" s="36"/>
    </row>
    <row r="48" spans="2:7" ht="15" customHeight="1">
      <c r="C48" s="15" t="s">
        <v>68</v>
      </c>
      <c r="D48" s="16"/>
      <c r="E48" s="17"/>
      <c r="F48" s="47"/>
      <c r="G48" s="35"/>
    </row>
    <row r="49" spans="3:7">
      <c r="C49" s="26" t="s">
        <v>69</v>
      </c>
      <c r="D49" s="12"/>
      <c r="E49" s="18"/>
      <c r="F49" s="48"/>
      <c r="G49" s="33"/>
    </row>
    <row r="50" spans="3:7" ht="15" customHeight="1">
      <c r="C50" s="27" t="s">
        <v>115</v>
      </c>
      <c r="D50" s="89"/>
      <c r="E50" s="28"/>
      <c r="F50" s="51"/>
      <c r="G50" s="39"/>
    </row>
    <row r="51" spans="3:7" ht="15" customHeight="1">
      <c r="C51" s="60" t="s">
        <v>71</v>
      </c>
      <c r="D51" s="65"/>
      <c r="E51" s="29">
        <f>SUM(E6:E50)</f>
        <v>614048.43000000005</v>
      </c>
      <c r="F51" s="45"/>
      <c r="G51" s="40">
        <f>SUM(G6:G50)</f>
        <v>100.00000000000001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1002-9474-468C-8D91-937112648F3C}">
  <dimension ref="B2:G51"/>
  <sheetViews>
    <sheetView topLeftCell="A43" workbookViewId="0">
      <selection activeCell="J15" sqref="J15"/>
    </sheetView>
  </sheetViews>
  <sheetFormatPr baseColWidth="10" defaultColWidth="11.44140625" defaultRowHeight="14.4"/>
  <cols>
    <col min="1" max="1" width="11.44140625" customWidth="1"/>
    <col min="2" max="2" width="11.5546875" style="5" customWidth="1"/>
    <col min="3" max="3" width="51.109375" customWidth="1"/>
    <col min="4" max="4" width="12.33203125" style="124" bestFit="1" customWidth="1"/>
    <col min="5" max="5" width="12.33203125" bestFit="1" customWidth="1"/>
    <col min="6" max="6" width="12.33203125" style="8" customWidth="1"/>
    <col min="7" max="7" width="11.5546875" style="30" customWidth="1"/>
  </cols>
  <sheetData>
    <row r="2" spans="2:7">
      <c r="C2" s="30" t="s">
        <v>0</v>
      </c>
      <c r="D2" s="125"/>
      <c r="E2" s="30"/>
      <c r="F2" s="30"/>
    </row>
    <row r="3" spans="2:7" ht="15" customHeight="1"/>
    <row r="4" spans="2:7" s="8" customFormat="1">
      <c r="B4" s="8" t="s">
        <v>6</v>
      </c>
      <c r="C4" s="23" t="s">
        <v>72</v>
      </c>
      <c r="D4" s="126" t="s">
        <v>73</v>
      </c>
      <c r="E4" s="32" t="s">
        <v>74</v>
      </c>
      <c r="F4" s="41" t="s">
        <v>75</v>
      </c>
      <c r="G4" s="33" t="s">
        <v>76</v>
      </c>
    </row>
    <row r="5" spans="2:7" ht="15" customHeight="1">
      <c r="C5" s="24" t="s">
        <v>23</v>
      </c>
      <c r="D5" s="127"/>
      <c r="E5" s="17"/>
      <c r="F5" s="47"/>
      <c r="G5" s="35"/>
    </row>
    <row r="6" spans="2:7">
      <c r="C6" s="11" t="s">
        <v>24</v>
      </c>
      <c r="D6" s="128"/>
      <c r="E6" s="13">
        <f>SUM(D7:D9)</f>
        <v>0</v>
      </c>
      <c r="F6" s="48"/>
      <c r="G6" s="33"/>
    </row>
    <row r="7" spans="2:7">
      <c r="C7" s="14" t="s">
        <v>25</v>
      </c>
      <c r="D7" s="129"/>
      <c r="E7" s="7"/>
      <c r="F7" s="49"/>
      <c r="G7" s="36"/>
    </row>
    <row r="8" spans="2:7">
      <c r="C8" s="14" t="s">
        <v>106</v>
      </c>
      <c r="D8" s="129"/>
      <c r="E8" s="7"/>
      <c r="F8" s="49"/>
      <c r="G8" s="36"/>
    </row>
    <row r="9" spans="2:7" ht="15" customHeight="1">
      <c r="C9" s="15" t="s">
        <v>107</v>
      </c>
      <c r="D9" s="127"/>
      <c r="E9" s="17"/>
      <c r="F9" s="47"/>
      <c r="G9" s="35"/>
    </row>
    <row r="10" spans="2:7" ht="15" customHeight="1">
      <c r="C10" s="11" t="s">
        <v>28</v>
      </c>
      <c r="D10" s="128"/>
      <c r="E10" s="44">
        <f>SUM(D11:D25)</f>
        <v>10835</v>
      </c>
      <c r="F10" s="55">
        <f>SUM(F11:F25)</f>
        <v>8.8601753576372868</v>
      </c>
      <c r="G10" s="52">
        <f>(E10/E51)*100</f>
        <v>1.74453213153666</v>
      </c>
    </row>
    <row r="11" spans="2:7">
      <c r="C11" s="66" t="s">
        <v>29</v>
      </c>
      <c r="D11" s="129"/>
      <c r="E11" s="43"/>
      <c r="F11" s="56"/>
      <c r="G11" s="53"/>
    </row>
    <row r="12" spans="2:7">
      <c r="C12" s="14" t="s">
        <v>79</v>
      </c>
      <c r="D12" s="129">
        <v>9875</v>
      </c>
      <c r="E12" s="43"/>
      <c r="F12" s="56"/>
      <c r="G12" s="53"/>
    </row>
    <row r="13" spans="2:7">
      <c r="C13" s="14" t="s">
        <v>108</v>
      </c>
      <c r="D13" s="129"/>
      <c r="E13" s="43"/>
      <c r="F13" s="56"/>
      <c r="G13" s="53"/>
    </row>
    <row r="14" spans="2:7">
      <c r="C14" s="14" t="s">
        <v>109</v>
      </c>
      <c r="D14" s="129"/>
      <c r="E14" s="43"/>
      <c r="F14" s="57">
        <f>D14/E10*100</f>
        <v>0</v>
      </c>
      <c r="G14" s="53"/>
    </row>
    <row r="15" spans="2:7">
      <c r="C15" s="14" t="s">
        <v>82</v>
      </c>
      <c r="D15" s="129"/>
      <c r="E15" s="43"/>
      <c r="F15" s="56"/>
      <c r="G15" s="53"/>
    </row>
    <row r="16" spans="2:7">
      <c r="C16" s="14" t="s">
        <v>34</v>
      </c>
      <c r="D16" s="129"/>
      <c r="E16" s="43"/>
      <c r="F16" s="56"/>
      <c r="G16" s="53"/>
    </row>
    <row r="17" spans="3:7">
      <c r="C17" s="14" t="s">
        <v>83</v>
      </c>
      <c r="D17" s="129"/>
      <c r="E17" s="43"/>
      <c r="F17" s="56"/>
      <c r="G17" s="53"/>
    </row>
    <row r="18" spans="3:7">
      <c r="C18" s="14" t="s">
        <v>84</v>
      </c>
      <c r="D18" s="129"/>
      <c r="E18" s="43"/>
      <c r="F18" s="57">
        <f>D18/E10*100</f>
        <v>0</v>
      </c>
      <c r="G18" s="53"/>
    </row>
    <row r="19" spans="3:7">
      <c r="C19" s="14" t="s">
        <v>110</v>
      </c>
      <c r="D19" s="129">
        <v>960</v>
      </c>
      <c r="E19" s="43"/>
      <c r="F19" s="57">
        <f>D19/E10*100</f>
        <v>8.8601753576372868</v>
      </c>
      <c r="G19" s="53"/>
    </row>
    <row r="20" spans="3:7">
      <c r="C20" s="14" t="s">
        <v>38</v>
      </c>
      <c r="D20" s="129"/>
      <c r="E20" s="43"/>
      <c r="F20" s="56"/>
      <c r="G20" s="53"/>
    </row>
    <row r="21" spans="3:7">
      <c r="C21" s="14" t="s">
        <v>86</v>
      </c>
      <c r="D21" s="129"/>
      <c r="E21" s="43"/>
      <c r="F21" s="56"/>
      <c r="G21" s="53"/>
    </row>
    <row r="22" spans="3:7">
      <c r="C22" s="14" t="s">
        <v>87</v>
      </c>
      <c r="D22" s="129"/>
      <c r="E22" s="43"/>
      <c r="F22" s="57">
        <f>D22/E10*100</f>
        <v>0</v>
      </c>
      <c r="G22" s="53"/>
    </row>
    <row r="23" spans="3:7">
      <c r="C23" s="14" t="s">
        <v>88</v>
      </c>
      <c r="D23" s="129"/>
      <c r="E23" s="43"/>
      <c r="F23" s="56"/>
      <c r="G23" s="53"/>
    </row>
    <row r="24" spans="3:7">
      <c r="C24" s="14" t="s">
        <v>89</v>
      </c>
      <c r="D24" s="129"/>
      <c r="E24" s="43"/>
      <c r="F24" s="56"/>
      <c r="G24" s="53"/>
    </row>
    <row r="25" spans="3:7" ht="15" customHeight="1">
      <c r="C25" s="15" t="s">
        <v>90</v>
      </c>
      <c r="D25" s="127"/>
      <c r="E25" s="42"/>
      <c r="F25" s="58"/>
      <c r="G25" s="54"/>
    </row>
    <row r="26" spans="3:7">
      <c r="C26" s="11" t="s">
        <v>44</v>
      </c>
      <c r="D26" s="128"/>
      <c r="E26" s="13">
        <f>SUM(D27:D32)</f>
        <v>3000</v>
      </c>
      <c r="F26" s="59">
        <f>SUM(F27:F32)</f>
        <v>100</v>
      </c>
      <c r="G26" s="37">
        <f>(E26/E51)*100</f>
        <v>0.48302689382648639</v>
      </c>
    </row>
    <row r="27" spans="3:7">
      <c r="C27" s="14" t="s">
        <v>45</v>
      </c>
      <c r="D27" s="129"/>
      <c r="E27" s="7"/>
      <c r="F27" s="49"/>
      <c r="G27" s="36"/>
    </row>
    <row r="28" spans="3:7">
      <c r="C28" s="14" t="s">
        <v>111</v>
      </c>
      <c r="D28" s="129"/>
      <c r="E28" s="7"/>
      <c r="F28" s="49">
        <f>D28/E26*100</f>
        <v>0</v>
      </c>
      <c r="G28" s="36"/>
    </row>
    <row r="29" spans="3:7">
      <c r="C29" s="14" t="s">
        <v>112</v>
      </c>
      <c r="D29" s="129">
        <v>3000</v>
      </c>
      <c r="E29" s="7"/>
      <c r="F29" s="49">
        <f>D29/E26*100</f>
        <v>100</v>
      </c>
      <c r="G29" s="36"/>
    </row>
    <row r="30" spans="3:7">
      <c r="C30" s="14" t="s">
        <v>93</v>
      </c>
      <c r="D30" s="129"/>
      <c r="E30" s="7"/>
      <c r="F30" s="49"/>
      <c r="G30" s="36"/>
    </row>
    <row r="31" spans="3:7">
      <c r="C31" s="14" t="s">
        <v>113</v>
      </c>
      <c r="D31" s="129"/>
      <c r="E31" s="7"/>
      <c r="F31" s="49"/>
      <c r="G31" s="36"/>
    </row>
    <row r="32" spans="3:7" ht="15" customHeight="1">
      <c r="C32" s="15" t="s">
        <v>114</v>
      </c>
      <c r="D32" s="127"/>
      <c r="E32" s="17"/>
      <c r="F32" s="47"/>
      <c r="G32" s="35"/>
    </row>
    <row r="33" spans="2:7">
      <c r="C33" s="11" t="s">
        <v>51</v>
      </c>
      <c r="D33" s="128"/>
      <c r="E33" s="18"/>
      <c r="F33" s="48"/>
      <c r="G33" s="33"/>
    </row>
    <row r="34" spans="2:7">
      <c r="C34" s="14" t="s">
        <v>96</v>
      </c>
      <c r="D34" s="129"/>
      <c r="E34" s="7"/>
      <c r="F34" s="49"/>
      <c r="G34" s="36"/>
    </row>
    <row r="35" spans="2:7" ht="15" customHeight="1">
      <c r="C35" s="15" t="s">
        <v>97</v>
      </c>
      <c r="D35" s="127"/>
      <c r="E35" s="17"/>
      <c r="F35" s="47"/>
      <c r="G35" s="35"/>
    </row>
    <row r="36" spans="2:7" ht="15" customHeight="1">
      <c r="B36" s="6" t="s">
        <v>54</v>
      </c>
      <c r="C36" s="19" t="s">
        <v>55</v>
      </c>
      <c r="D36" s="130"/>
      <c r="E36" s="21"/>
      <c r="F36" s="34"/>
      <c r="G36" s="38"/>
    </row>
    <row r="37" spans="2:7">
      <c r="C37" s="11" t="s">
        <v>56</v>
      </c>
      <c r="D37" s="128"/>
      <c r="E37" s="13">
        <f>SUM(D38:D41)</f>
        <v>607248.43000000005</v>
      </c>
      <c r="F37" s="46"/>
      <c r="G37" s="37">
        <f>E37/E51*100</f>
        <v>97.772440974636851</v>
      </c>
    </row>
    <row r="38" spans="2:7">
      <c r="C38" s="14" t="s">
        <v>98</v>
      </c>
      <c r="D38" s="129">
        <v>456017.51</v>
      </c>
      <c r="E38" s="7"/>
      <c r="F38" s="49"/>
      <c r="G38" s="36"/>
    </row>
    <row r="39" spans="2:7">
      <c r="C39" s="14" t="s">
        <v>99</v>
      </c>
      <c r="D39" s="124">
        <v>151230.92000000001</v>
      </c>
      <c r="E39" s="7"/>
      <c r="F39" s="49"/>
      <c r="G39" s="36"/>
    </row>
    <row r="40" spans="2:7">
      <c r="C40" s="14" t="s">
        <v>100</v>
      </c>
      <c r="D40" s="129"/>
      <c r="E40" s="7"/>
      <c r="F40" s="49"/>
      <c r="G40" s="36"/>
    </row>
    <row r="41" spans="2:7" ht="15" customHeight="1">
      <c r="C41" s="15" t="s">
        <v>101</v>
      </c>
      <c r="D41" s="127"/>
      <c r="E41" s="17"/>
      <c r="F41" s="47"/>
      <c r="G41" s="35"/>
    </row>
    <row r="42" spans="2:7" ht="15" customHeight="1">
      <c r="B42" s="6" t="s">
        <v>61</v>
      </c>
      <c r="C42" s="19" t="s">
        <v>62</v>
      </c>
      <c r="D42" s="131"/>
      <c r="E42" s="21"/>
      <c r="F42" s="34"/>
      <c r="G42" s="38"/>
    </row>
    <row r="43" spans="2:7">
      <c r="C43" s="11" t="s">
        <v>63</v>
      </c>
      <c r="D43" s="128"/>
      <c r="E43" s="25">
        <f>SUM(D44:D48)</f>
        <v>0</v>
      </c>
      <c r="F43" s="50"/>
      <c r="G43" s="37">
        <f>E43/E51*100</f>
        <v>0</v>
      </c>
    </row>
    <row r="44" spans="2:7">
      <c r="C44" s="14" t="s">
        <v>102</v>
      </c>
      <c r="D44" s="129"/>
      <c r="E44" s="7"/>
      <c r="F44" s="49"/>
      <c r="G44" s="36"/>
    </row>
    <row r="45" spans="2:7">
      <c r="C45" s="14" t="s">
        <v>103</v>
      </c>
      <c r="D45" s="129"/>
      <c r="E45" s="7"/>
      <c r="F45" s="49"/>
      <c r="G45" s="36"/>
    </row>
    <row r="46" spans="2:7">
      <c r="C46" s="14" t="s">
        <v>104</v>
      </c>
      <c r="D46" s="129"/>
      <c r="E46" s="7"/>
      <c r="F46" s="49"/>
      <c r="G46" s="36"/>
    </row>
    <row r="47" spans="2:7">
      <c r="C47" s="14" t="s">
        <v>105</v>
      </c>
      <c r="D47" s="129"/>
      <c r="E47" s="7"/>
      <c r="F47" s="49"/>
      <c r="G47" s="36"/>
    </row>
    <row r="48" spans="2:7" ht="15" customHeight="1">
      <c r="C48" s="15" t="s">
        <v>68</v>
      </c>
      <c r="D48" s="127"/>
      <c r="E48" s="17"/>
      <c r="F48" s="47"/>
      <c r="G48" s="35"/>
    </row>
    <row r="49" spans="3:7">
      <c r="C49" s="26" t="s">
        <v>69</v>
      </c>
      <c r="D49" s="128"/>
      <c r="E49" s="18"/>
      <c r="F49" s="48"/>
      <c r="G49" s="33"/>
    </row>
    <row r="50" spans="3:7" ht="15" customHeight="1">
      <c r="C50" s="27" t="s">
        <v>115</v>
      </c>
      <c r="D50" s="132"/>
      <c r="E50" s="28"/>
      <c r="F50" s="51"/>
      <c r="G50" s="39"/>
    </row>
    <row r="51" spans="3:7" ht="15" customHeight="1">
      <c r="C51" s="60" t="s">
        <v>71</v>
      </c>
      <c r="D51" s="133"/>
      <c r="E51" s="29">
        <f>SUM(E6:E50)</f>
        <v>621083.43000000005</v>
      </c>
      <c r="F51" s="45"/>
      <c r="G51" s="40">
        <f>SUM(G6:G50)</f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965B-7C45-4CF1-B231-FBB4BD3A63C7}">
  <dimension ref="B2:G51"/>
  <sheetViews>
    <sheetView topLeftCell="A29" workbookViewId="0">
      <selection activeCell="I20" sqref="I20"/>
    </sheetView>
  </sheetViews>
  <sheetFormatPr baseColWidth="10" defaultColWidth="11.44140625" defaultRowHeight="14.4"/>
  <cols>
    <col min="1" max="1" width="11.44140625" customWidth="1"/>
    <col min="2" max="2" width="11.5546875" style="5" customWidth="1"/>
    <col min="3" max="3" width="51.109375" customWidth="1"/>
    <col min="4" max="4" width="12.33203125" style="10" bestFit="1" customWidth="1"/>
    <col min="5" max="5" width="12.33203125" bestFit="1" customWidth="1"/>
    <col min="6" max="6" width="12.33203125" style="8" customWidth="1"/>
    <col min="7" max="7" width="11.5546875" style="30" customWidth="1"/>
  </cols>
  <sheetData>
    <row r="2" spans="2:7">
      <c r="C2" s="30" t="s">
        <v>0</v>
      </c>
      <c r="D2" s="30"/>
      <c r="E2" s="30"/>
      <c r="F2" s="30"/>
    </row>
    <row r="3" spans="2:7" ht="15" customHeight="1"/>
    <row r="4" spans="2:7" s="8" customFormat="1">
      <c r="B4" s="8" t="s">
        <v>6</v>
      </c>
      <c r="C4" s="23" t="s">
        <v>72</v>
      </c>
      <c r="D4" s="31" t="s">
        <v>73</v>
      </c>
      <c r="E4" s="32" t="s">
        <v>74</v>
      </c>
      <c r="F4" s="41" t="s">
        <v>75</v>
      </c>
      <c r="G4" s="33" t="s">
        <v>76</v>
      </c>
    </row>
    <row r="5" spans="2:7" ht="15" customHeight="1">
      <c r="C5" s="24" t="s">
        <v>23</v>
      </c>
      <c r="D5" s="16"/>
      <c r="E5" s="17"/>
      <c r="F5" s="47"/>
      <c r="G5" s="35"/>
    </row>
    <row r="6" spans="2:7">
      <c r="C6" s="11" t="s">
        <v>24</v>
      </c>
      <c r="D6" s="96"/>
      <c r="E6" s="13">
        <f>SUM(D7:D9)</f>
        <v>0</v>
      </c>
      <c r="F6" s="48"/>
      <c r="G6" s="33"/>
    </row>
    <row r="7" spans="2:7">
      <c r="C7" s="14" t="s">
        <v>25</v>
      </c>
      <c r="D7" s="97"/>
      <c r="E7" s="7"/>
      <c r="F7" s="49"/>
      <c r="G7" s="36"/>
    </row>
    <row r="8" spans="2:7">
      <c r="C8" s="14" t="s">
        <v>106</v>
      </c>
      <c r="D8" s="97"/>
      <c r="E8" s="7"/>
      <c r="F8" s="49"/>
      <c r="G8" s="36"/>
    </row>
    <row r="9" spans="2:7" ht="15" customHeight="1">
      <c r="C9" s="27" t="s">
        <v>107</v>
      </c>
      <c r="D9" s="99"/>
      <c r="E9" s="28"/>
      <c r="F9" s="51"/>
      <c r="G9" s="39"/>
    </row>
    <row r="10" spans="2:7" ht="15" customHeight="1">
      <c r="C10" s="64" t="s">
        <v>28</v>
      </c>
      <c r="D10" s="111"/>
      <c r="E10" s="70">
        <f>SUM(D11:D25)</f>
        <v>7120</v>
      </c>
      <c r="F10" s="55">
        <f>SUM(F11:F25)</f>
        <v>20.224719101123593</v>
      </c>
      <c r="G10" s="71">
        <f>(E10/E51)*100</f>
        <v>1.1579713077804303</v>
      </c>
    </row>
    <row r="11" spans="2:7">
      <c r="C11" s="62" t="s">
        <v>29</v>
      </c>
      <c r="D11" s="102"/>
      <c r="E11" s="67"/>
      <c r="F11" s="68"/>
      <c r="G11" s="69"/>
    </row>
    <row r="12" spans="2:7">
      <c r="C12" s="14" t="s">
        <v>79</v>
      </c>
      <c r="D12" s="97"/>
      <c r="E12" s="43"/>
      <c r="F12" s="56"/>
      <c r="G12" s="53"/>
    </row>
    <row r="13" spans="2:7">
      <c r="C13" s="14" t="s">
        <v>108</v>
      </c>
      <c r="D13" s="97">
        <v>3700</v>
      </c>
      <c r="E13" s="43"/>
      <c r="F13" s="56"/>
      <c r="G13" s="53"/>
    </row>
    <row r="14" spans="2:7">
      <c r="C14" s="14" t="s">
        <v>109</v>
      </c>
      <c r="D14" s="97"/>
      <c r="E14" s="43"/>
      <c r="F14" s="57">
        <f>D14/E10*100</f>
        <v>0</v>
      </c>
      <c r="G14" s="53"/>
    </row>
    <row r="15" spans="2:7">
      <c r="C15" s="14" t="s">
        <v>82</v>
      </c>
      <c r="D15" s="97">
        <v>480</v>
      </c>
      <c r="E15" s="43"/>
      <c r="F15" s="56"/>
      <c r="G15" s="53"/>
    </row>
    <row r="16" spans="2:7">
      <c r="C16" s="14" t="s">
        <v>34</v>
      </c>
      <c r="D16" s="97"/>
      <c r="E16" s="43"/>
      <c r="F16" s="56"/>
      <c r="G16" s="53"/>
    </row>
    <row r="17" spans="3:7">
      <c r="C17" s="14" t="s">
        <v>83</v>
      </c>
      <c r="D17" s="97"/>
      <c r="E17" s="43"/>
      <c r="F17" s="56"/>
      <c r="G17" s="53"/>
    </row>
    <row r="18" spans="3:7">
      <c r="C18" s="14" t="s">
        <v>84</v>
      </c>
      <c r="D18" s="97"/>
      <c r="E18" s="43"/>
      <c r="F18" s="57">
        <f>D18/E10*100</f>
        <v>0</v>
      </c>
      <c r="G18" s="53"/>
    </row>
    <row r="19" spans="3:7">
      <c r="C19" s="14" t="s">
        <v>110</v>
      </c>
      <c r="D19" s="97">
        <v>1440</v>
      </c>
      <c r="E19" s="43"/>
      <c r="F19" s="57">
        <f>D19/E10*100</f>
        <v>20.224719101123593</v>
      </c>
      <c r="G19" s="53"/>
    </row>
    <row r="20" spans="3:7">
      <c r="C20" s="14" t="s">
        <v>38</v>
      </c>
      <c r="D20" s="97">
        <v>1500</v>
      </c>
      <c r="E20" s="43"/>
      <c r="F20" s="56"/>
      <c r="G20" s="53"/>
    </row>
    <row r="21" spans="3:7">
      <c r="C21" s="14" t="s">
        <v>86</v>
      </c>
      <c r="D21" s="97"/>
      <c r="E21" s="43"/>
      <c r="F21" s="56"/>
      <c r="G21" s="53"/>
    </row>
    <row r="22" spans="3:7">
      <c r="C22" s="14" t="s">
        <v>87</v>
      </c>
      <c r="D22" s="97"/>
      <c r="E22" s="43"/>
      <c r="F22" s="57">
        <f>D22/E10*100</f>
        <v>0</v>
      </c>
      <c r="G22" s="53"/>
    </row>
    <row r="23" spans="3:7">
      <c r="C23" s="14" t="s">
        <v>88</v>
      </c>
      <c r="D23" s="97"/>
      <c r="E23" s="43"/>
      <c r="F23" s="56"/>
      <c r="G23" s="53"/>
    </row>
    <row r="24" spans="3:7">
      <c r="C24" s="14" t="s">
        <v>89</v>
      </c>
      <c r="D24" s="97"/>
      <c r="E24" s="43"/>
      <c r="F24" s="56"/>
      <c r="G24" s="53"/>
    </row>
    <row r="25" spans="3:7" ht="15" customHeight="1">
      <c r="C25" s="27" t="s">
        <v>90</v>
      </c>
      <c r="D25" s="99"/>
      <c r="E25" s="107"/>
      <c r="F25" s="108"/>
      <c r="G25" s="109"/>
    </row>
    <row r="26" spans="3:7">
      <c r="C26" s="11" t="s">
        <v>44</v>
      </c>
      <c r="D26" s="96"/>
      <c r="E26" s="13">
        <f>SUM(D27:D32)</f>
        <v>500</v>
      </c>
      <c r="F26" s="59">
        <f>SUM(F27:F32)</f>
        <v>0</v>
      </c>
      <c r="G26" s="37">
        <f>(E26/E51)*100</f>
        <v>8.1318209816041459E-2</v>
      </c>
    </row>
    <row r="27" spans="3:7">
      <c r="C27" s="14" t="s">
        <v>45</v>
      </c>
      <c r="D27" s="97"/>
      <c r="E27" s="7"/>
      <c r="F27" s="49"/>
      <c r="G27" s="36"/>
    </row>
    <row r="28" spans="3:7">
      <c r="C28" s="14" t="s">
        <v>111</v>
      </c>
      <c r="D28" s="97"/>
      <c r="E28" s="7"/>
      <c r="F28" s="49">
        <f>D28/E26*100</f>
        <v>0</v>
      </c>
      <c r="G28" s="36"/>
    </row>
    <row r="29" spans="3:7">
      <c r="C29" s="14" t="s">
        <v>112</v>
      </c>
      <c r="D29" s="97"/>
      <c r="E29" s="7"/>
      <c r="F29" s="49">
        <f>D29/E26*100</f>
        <v>0</v>
      </c>
      <c r="G29" s="36"/>
    </row>
    <row r="30" spans="3:7">
      <c r="C30" s="14" t="s">
        <v>93</v>
      </c>
      <c r="D30" s="97">
        <v>500</v>
      </c>
      <c r="E30" s="7"/>
      <c r="F30" s="49"/>
      <c r="G30" s="36"/>
    </row>
    <row r="31" spans="3:7">
      <c r="C31" s="14" t="s">
        <v>113</v>
      </c>
      <c r="D31" s="97"/>
      <c r="E31" s="7"/>
      <c r="F31" s="49"/>
      <c r="G31" s="36"/>
    </row>
    <row r="32" spans="3:7" ht="15" customHeight="1">
      <c r="C32" s="15" t="s">
        <v>114</v>
      </c>
      <c r="D32" s="110"/>
      <c r="E32" s="17"/>
      <c r="F32" s="47"/>
      <c r="G32" s="35"/>
    </row>
    <row r="33" spans="2:7">
      <c r="C33" s="11" t="s">
        <v>51</v>
      </c>
      <c r="D33" s="96"/>
      <c r="E33" s="18"/>
      <c r="F33" s="48"/>
      <c r="G33" s="33"/>
    </row>
    <row r="34" spans="2:7">
      <c r="C34" s="14" t="s">
        <v>96</v>
      </c>
      <c r="D34" s="97"/>
      <c r="E34" s="7"/>
      <c r="F34" s="49"/>
      <c r="G34" s="36"/>
    </row>
    <row r="35" spans="2:7" ht="15" customHeight="1">
      <c r="C35" s="15" t="s">
        <v>97</v>
      </c>
      <c r="D35" s="99"/>
      <c r="E35" s="17"/>
      <c r="F35" s="47"/>
      <c r="G35" s="35"/>
    </row>
    <row r="36" spans="2:7" ht="15" customHeight="1">
      <c r="B36" s="6" t="s">
        <v>54</v>
      </c>
      <c r="C36" s="103" t="s">
        <v>55</v>
      </c>
      <c r="D36" s="100"/>
      <c r="E36" s="104"/>
      <c r="F36" s="105"/>
      <c r="G36" s="106"/>
    </row>
    <row r="37" spans="2:7">
      <c r="C37" s="11" t="s">
        <v>56</v>
      </c>
      <c r="D37" s="102"/>
      <c r="E37" s="13">
        <f>SUM(D38:D41)</f>
        <v>607248.43000000005</v>
      </c>
      <c r="F37" s="46"/>
      <c r="G37" s="37">
        <f>E37/E51*100</f>
        <v>98.760710482403525</v>
      </c>
    </row>
    <row r="38" spans="2:7">
      <c r="C38" s="14" t="s">
        <v>98</v>
      </c>
      <c r="D38" s="97"/>
      <c r="E38" s="7"/>
      <c r="F38" s="49"/>
      <c r="G38" s="36"/>
    </row>
    <row r="39" spans="2:7">
      <c r="C39" s="14" t="s">
        <v>99</v>
      </c>
      <c r="D39" s="98">
        <v>456017.51</v>
      </c>
      <c r="E39" s="7"/>
      <c r="F39" s="49"/>
      <c r="G39" s="36"/>
    </row>
    <row r="40" spans="2:7">
      <c r="C40" s="14" t="s">
        <v>100</v>
      </c>
      <c r="D40" s="97">
        <v>151230.92000000001</v>
      </c>
      <c r="E40" s="7"/>
      <c r="F40" s="49"/>
      <c r="G40" s="36"/>
    </row>
    <row r="41" spans="2:7" ht="15" customHeight="1">
      <c r="C41" s="15" t="s">
        <v>101</v>
      </c>
      <c r="D41" s="99"/>
      <c r="E41" s="17"/>
      <c r="F41" s="47"/>
      <c r="G41" s="35"/>
    </row>
    <row r="42" spans="2:7" ht="15" customHeight="1">
      <c r="B42" s="6" t="s">
        <v>61</v>
      </c>
      <c r="C42" s="101" t="s">
        <v>62</v>
      </c>
      <c r="D42" s="100"/>
      <c r="E42" s="21"/>
      <c r="F42" s="34"/>
      <c r="G42" s="38"/>
    </row>
    <row r="43" spans="2:7">
      <c r="C43" s="11" t="s">
        <v>63</v>
      </c>
      <c r="D43" s="102"/>
      <c r="E43" s="25">
        <f>SUM(D44:D48)</f>
        <v>0</v>
      </c>
      <c r="F43" s="50"/>
      <c r="G43" s="37">
        <f>E43/E51*100</f>
        <v>0</v>
      </c>
    </row>
    <row r="44" spans="2:7">
      <c r="C44" s="14" t="s">
        <v>102</v>
      </c>
      <c r="D44" s="97"/>
      <c r="E44" s="7"/>
      <c r="F44" s="49"/>
      <c r="G44" s="36"/>
    </row>
    <row r="45" spans="2:7">
      <c r="C45" s="14" t="s">
        <v>103</v>
      </c>
      <c r="D45" s="97"/>
      <c r="E45" s="7"/>
      <c r="F45" s="49"/>
      <c r="G45" s="36"/>
    </row>
    <row r="46" spans="2:7">
      <c r="C46" s="14" t="s">
        <v>104</v>
      </c>
      <c r="D46" s="97"/>
      <c r="E46" s="7"/>
      <c r="F46" s="49"/>
      <c r="G46" s="36"/>
    </row>
    <row r="47" spans="2:7">
      <c r="C47" s="14" t="s">
        <v>105</v>
      </c>
      <c r="D47" s="97"/>
      <c r="E47" s="7"/>
      <c r="F47" s="49"/>
      <c r="G47" s="36"/>
    </row>
    <row r="48" spans="2:7" ht="15" customHeight="1">
      <c r="C48" s="27" t="s">
        <v>68</v>
      </c>
      <c r="D48" s="99"/>
      <c r="E48" s="28"/>
      <c r="F48" s="51"/>
      <c r="G48" s="39"/>
    </row>
    <row r="49" spans="3:7">
      <c r="C49" s="26" t="s">
        <v>69</v>
      </c>
      <c r="D49" s="96"/>
      <c r="E49" s="18"/>
      <c r="F49" s="48"/>
      <c r="G49" s="33"/>
    </row>
    <row r="50" spans="3:7" ht="15" customHeight="1">
      <c r="C50" s="27" t="s">
        <v>115</v>
      </c>
      <c r="D50" s="99"/>
      <c r="E50" s="28"/>
      <c r="F50" s="51"/>
      <c r="G50" s="39"/>
    </row>
    <row r="51" spans="3:7" ht="15" customHeight="1">
      <c r="C51" s="87" t="s">
        <v>71</v>
      </c>
      <c r="D51" s="100"/>
      <c r="E51" s="29">
        <f>SUM(E6:E50)</f>
        <v>614868.43000000005</v>
      </c>
      <c r="F51" s="45"/>
      <c r="G51" s="40">
        <f>SUM(G6:G50)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concentrado_mes</vt:lpstr>
      <vt:lpstr>INGRESO-OCT</vt:lpstr>
      <vt:lpstr>INGRESO-NOV</vt:lpstr>
      <vt:lpstr>INGRESO-DICIEMBRE</vt:lpstr>
      <vt:lpstr>ingreso -enero</vt:lpstr>
      <vt:lpstr>ingreso-febrero</vt:lpstr>
      <vt:lpstr>ingreso-marzo</vt:lpstr>
      <vt:lpstr>ingreso-abril</vt:lpstr>
      <vt:lpstr>ingreso-mayo</vt:lpstr>
      <vt:lpstr>ingreso-junio</vt:lpstr>
      <vt:lpstr>julio</vt:lpstr>
      <vt:lpstr>agosto</vt:lpstr>
      <vt:lpstr>Septiembre</vt:lpstr>
      <vt:lpstr>concentrado_mes!Área_de_impresión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julio cesar colli chim</dc:creator>
  <cp:keywords/>
  <dc:description/>
  <cp:lastModifiedBy>Victor Blanco Reyes</cp:lastModifiedBy>
  <cp:revision/>
  <dcterms:created xsi:type="dcterms:W3CDTF">2025-05-31T17:04:11Z</dcterms:created>
  <dcterms:modified xsi:type="dcterms:W3CDTF">2025-12-19T23:53:49Z</dcterms:modified>
  <cp:category/>
  <cp:contentStatus/>
</cp:coreProperties>
</file>