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Empresas y Cotizaciones\TD\"/>
    </mc:Choice>
  </mc:AlternateContent>
  <xr:revisionPtr revIDLastSave="0" documentId="8_{172B09F8-21B2-42C8-A092-A47405008B0E}" xr6:coauthVersionLast="47" xr6:coauthVersionMax="47" xr10:uidLastSave="{00000000-0000-0000-0000-000000000000}"/>
  <bookViews>
    <workbookView xWindow="31140" yWindow="2355" windowWidth="38700" windowHeight="15345" xr2:uid="{00000000-000D-0000-FFFF-FFFF00000000}"/>
  </bookViews>
  <sheets>
    <sheet name="COR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1" l="1"/>
  <c r="P33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</calcChain>
</file>

<file path=xl/sharedStrings.xml><?xml version="1.0" encoding="utf-8"?>
<sst xmlns="http://schemas.openxmlformats.org/spreadsheetml/2006/main" count="51" uniqueCount="37">
  <si>
    <t>Elaboracion de Trabajos Especializados de Ejecucion de Cortes por Adeudo.</t>
  </si>
  <si>
    <t xml:space="preserve">NOMBRE DEL CONTRATISTA: </t>
  </si>
  <si>
    <t>NO. CONTRATO:</t>
  </si>
  <si>
    <t xml:space="preserve">     R.F.C.:</t>
  </si>
  <si>
    <t xml:space="preserve">   NO. ESTIMACION:</t>
  </si>
  <si>
    <t>MES DE ESTIMACIÓN.:</t>
  </si>
  <si>
    <t>FECHAS DE EJECUCIÓN:</t>
  </si>
  <si>
    <t xml:space="preserve">F O R M A T O   D E    G E N E R A D O R E S </t>
  </si>
  <si>
    <t>CLAVE</t>
  </si>
  <si>
    <t>DESCRIPCION</t>
  </si>
  <si>
    <t>UA</t>
  </si>
  <si>
    <t>CANTIDAD</t>
  </si>
  <si>
    <t>PRECIO UNITARIO</t>
  </si>
  <si>
    <t>IMPORTE</t>
  </si>
  <si>
    <t>CORTE CON TAPÓN</t>
  </si>
  <si>
    <t>0302009</t>
  </si>
  <si>
    <t>CIERRE DE VÁLVULA</t>
  </si>
  <si>
    <t>CORTE EN TIERRA</t>
  </si>
  <si>
    <t>CORTE EN MURO</t>
  </si>
  <si>
    <t>CORTE EN BANQUETA</t>
  </si>
  <si>
    <t>CORTE EN ASFALTO (EN RED)</t>
  </si>
  <si>
    <t>CORTE EN ASFALTO (EN DIRECCION AL PREDIO)</t>
  </si>
  <si>
    <t>GASTO POR VISITA</t>
  </si>
  <si>
    <t>INSTALACIÓN DE BOTA DE CORTE CON VÁLVULA</t>
  </si>
  <si>
    <t>SONDEO EN TIERRA</t>
  </si>
  <si>
    <t>CORTE DE DRENAJE CON TAPON</t>
  </si>
  <si>
    <t>INSTALACIÓN TAPA DE REGISTRO</t>
  </si>
  <si>
    <t>CORTE DE DRENAJE CON RELLENO Y CONCRETO</t>
  </si>
  <si>
    <t>SONDEO EN BANQUETA</t>
  </si>
  <si>
    <t>SONDEO EN PAVIMENTO</t>
  </si>
  <si>
    <t xml:space="preserve">  </t>
  </si>
  <si>
    <t>Elaborado por:</t>
  </si>
  <si>
    <t>Revisado por:</t>
  </si>
  <si>
    <t>Autorizado por:</t>
  </si>
  <si>
    <t>JONATHAN GARCIA FLORES</t>
  </si>
  <si>
    <t>LIC. DAVID MAURICIO JUAREZ BALTAZAR</t>
  </si>
  <si>
    <t>ING. SANDRO DA SILVA MOYSES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</si>
</sst>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_-&quot;$&quot;* #,##0.00_-;\-&quot;$&quot;* #,##0.00_-;_-&quot;$&quot;* &quot;-&quot;??_-;_-@_-"/>
    <numFmt numFmtId="166" formatCode="0\+000.00"/>
    <numFmt numFmtId="167" formatCode="[$-80A]d&quot; de &quot;mmmm&quot; de &quot;yyyy;@"/>
  </numFmts>
  <fonts count="19" x14ac:knownFonts="1">
    <font>
      <sz val="11"/>
      <color theme="1"/>
      <name val="Calibri"/>
      <scheme val="minor"/>
    </font>
    <font>
      <b/>
      <sz val="22"/>
      <color theme="1"/>
      <name val="Calibri"/>
      <scheme val="minor"/>
    </font>
    <font>
      <sz val="11"/>
      <color theme="1"/>
      <name val="Tahoma"/>
    </font>
    <font>
      <b/>
      <sz val="22"/>
      <color theme="1"/>
      <name val="Tahoma"/>
    </font>
    <font>
      <b/>
      <sz val="8"/>
      <name val="Tahoma"/>
    </font>
    <font>
      <b/>
      <sz val="10.5"/>
      <color theme="1"/>
      <name val="Tahoma"/>
    </font>
    <font>
      <b/>
      <sz val="11"/>
      <color theme="1"/>
      <name val="Tahoma"/>
    </font>
    <font>
      <b/>
      <sz val="10"/>
      <name val="Tahoma"/>
    </font>
    <font>
      <b/>
      <sz val="11"/>
      <color theme="0"/>
      <name val="Tahoma"/>
    </font>
    <font>
      <sz val="11"/>
      <color indexed="64"/>
      <name val="Tahoma"/>
    </font>
    <font>
      <b/>
      <sz val="8"/>
      <color theme="0"/>
      <name val="Tahoma"/>
    </font>
    <font>
      <b/>
      <sz val="8"/>
      <color indexed="64"/>
      <name val="Tahoma"/>
    </font>
    <font>
      <sz val="8"/>
      <color indexed="64"/>
      <name val="Tahoma"/>
    </font>
    <font>
      <sz val="8"/>
      <name val="Tahoma"/>
    </font>
    <font>
      <sz val="11"/>
      <name val="Tahoma"/>
    </font>
    <font>
      <b/>
      <sz val="11"/>
      <name val="Tahoma"/>
    </font>
    <font>
      <b/>
      <sz val="11"/>
      <color indexed="64"/>
      <name val="Tahoma"/>
    </font>
    <font>
      <b/>
      <sz val="10"/>
      <color indexed="64"/>
      <name val="Tahoma"/>
    </font>
    <font>
      <sz val="11"/>
      <color indexed="64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AEC7"/>
      </patternFill>
    </fill>
    <fill>
      <patternFill patternType="solid">
        <fgColor indexed="5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justify"/>
    </xf>
    <xf numFmtId="0" fontId="2" fillId="2" borderId="0" xfId="0" applyFont="1" applyFill="1"/>
    <xf numFmtId="0" fontId="3" fillId="2" borderId="0" xfId="0" applyFont="1" applyFill="1" applyAlignment="1">
      <alignment horizontal="center" vertical="justify"/>
    </xf>
    <xf numFmtId="0" fontId="2" fillId="0" borderId="0" xfId="0" applyFont="1"/>
    <xf numFmtId="0" fontId="3" fillId="0" borderId="0" xfId="0" applyFont="1" applyAlignment="1">
      <alignment horizontal="center" vertical="justify"/>
    </xf>
    <xf numFmtId="0" fontId="3" fillId="0" borderId="0" xfId="0" applyFont="1" applyAlignment="1">
      <alignment horizontal="left" vertical="justify"/>
    </xf>
    <xf numFmtId="164" fontId="4" fillId="0" borderId="0" xfId="0" applyNumberFormat="1" applyFont="1" applyAlignment="1">
      <alignment vertical="top"/>
    </xf>
    <xf numFmtId="0" fontId="2" fillId="0" borderId="2" xfId="0" applyFont="1" applyBorder="1"/>
    <xf numFmtId="0" fontId="2" fillId="0" borderId="3" xfId="0" applyFont="1" applyBorder="1"/>
    <xf numFmtId="0" fontId="9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vertical="top"/>
    </xf>
    <xf numFmtId="0" fontId="9" fillId="0" borderId="19" xfId="0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 wrapText="1"/>
    </xf>
    <xf numFmtId="165" fontId="9" fillId="0" borderId="25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165" fontId="2" fillId="0" borderId="29" xfId="0" applyNumberFormat="1" applyFont="1" applyBorder="1" applyAlignment="1">
      <alignment horizontal="center" vertical="center" wrapText="1"/>
    </xf>
    <xf numFmtId="165" fontId="9" fillId="0" borderId="30" xfId="0" applyNumberFormat="1" applyFont="1" applyBorder="1" applyAlignment="1">
      <alignment horizontal="center" vertical="center"/>
    </xf>
    <xf numFmtId="0" fontId="12" fillId="0" borderId="0" xfId="0" applyFont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2" fillId="0" borderId="2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166" fontId="13" fillId="0" borderId="11" xfId="0" applyNumberFormat="1" applyFont="1" applyBorder="1" applyAlignment="1">
      <alignment horizontal="center" vertical="center" wrapText="1"/>
    </xf>
    <xf numFmtId="166" fontId="14" fillId="0" borderId="3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9" fillId="0" borderId="34" xfId="0" applyNumberFormat="1" applyFont="1" applyBorder="1" applyAlignment="1">
      <alignment horizontal="right" vertical="center"/>
    </xf>
    <xf numFmtId="165" fontId="9" fillId="0" borderId="35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166" fontId="14" fillId="0" borderId="36" xfId="0" applyNumberFormat="1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4" fontId="15" fillId="4" borderId="38" xfId="0" applyNumberFormat="1" applyFont="1" applyFill="1" applyBorder="1" applyAlignment="1">
      <alignment horizontal="center" vertical="center"/>
    </xf>
    <xf numFmtId="165" fontId="16" fillId="0" borderId="36" xfId="0" applyNumberFormat="1" applyFont="1" applyBorder="1" applyAlignment="1">
      <alignment horizontal="right" vertical="center"/>
    </xf>
    <xf numFmtId="165" fontId="15" fillId="0" borderId="39" xfId="0" applyNumberFormat="1" applyFont="1" applyBorder="1" applyAlignment="1">
      <alignment horizontal="right" vertical="center" indent="1"/>
    </xf>
    <xf numFmtId="166" fontId="13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right" vertical="top"/>
    </xf>
    <xf numFmtId="167" fontId="13" fillId="0" borderId="2" xfId="0" applyNumberFormat="1" applyFont="1" applyBorder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right" vertical="top"/>
    </xf>
    <xf numFmtId="0" fontId="2" fillId="0" borderId="0" xfId="0" applyFont="1"/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2" fontId="4" fillId="0" borderId="3" xfId="0" applyNumberFormat="1" applyFont="1" applyBorder="1" applyAlignment="1">
      <alignment horizontal="right" vertical="top" wrapText="1"/>
    </xf>
    <xf numFmtId="0" fontId="2" fillId="0" borderId="3" xfId="0" applyFont="1" applyBorder="1"/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2" fontId="10" fillId="3" borderId="9" xfId="0" applyNumberFormat="1" applyFont="1" applyFill="1" applyBorder="1" applyAlignment="1">
      <alignment horizontal="center" vertical="center"/>
    </xf>
    <xf numFmtId="2" fontId="10" fillId="3" borderId="12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2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37" xfId="0" applyFont="1" applyBorder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0" fontId="9" fillId="0" borderId="6" xfId="0" applyFont="1" applyBorder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05049" cy="1500769"/>
    <xdr:pic>
      <xdr:nvPicPr>
        <xdr:cNvPr id="934057572" name="Picture 934057571">
          <a:extLst>
            <a:ext uri="{FF2B5EF4-FFF2-40B4-BE49-F238E27FC236}">
              <a16:creationId xmlns:a16="http://schemas.microsoft.com/office/drawing/2014/main" id="{00000000-0008-0000-0000-00006496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2305049" cy="15007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/>
  </sheetViews>
  <sheetFormatPr defaultRowHeight="15" x14ac:dyDescent="0.25"/>
  <cols>
    <col min="1" max="7" width="7.5703125" customWidth="1"/>
    <col min="8" max="8" width="9" bestFit="1" customWidth="1"/>
    <col min="9" max="12" width="6.85546875" customWidth="1"/>
    <col min="13" max="13" width="8.28515625" customWidth="1"/>
    <col min="14" max="14" width="11.140625" customWidth="1"/>
    <col min="15" max="15" width="12.140625" customWidth="1"/>
    <col min="16" max="16" width="14" customWidth="1"/>
    <col min="17" max="17" width="14.7109375" customWidth="1"/>
    <col min="18" max="18" width="20.5703125" customWidth="1"/>
    <col min="19" max="19" width="4.140625" customWidth="1"/>
  </cols>
  <sheetData>
    <row r="1" spans="1:19" ht="28.5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</row>
    <row r="2" spans="1:19" ht="27" x14ac:dyDescent="0.25">
      <c r="A2" s="3"/>
      <c r="B2" s="4"/>
      <c r="C2" s="4"/>
      <c r="D2" s="4"/>
      <c r="E2" s="4"/>
      <c r="F2" s="59" t="s">
        <v>0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3"/>
    </row>
    <row r="3" spans="1:19" ht="27" x14ac:dyDescent="0.25">
      <c r="A3" s="3"/>
      <c r="B3" s="4"/>
      <c r="C3" s="4"/>
      <c r="D3" s="4"/>
      <c r="E3" s="4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3"/>
    </row>
    <row r="4" spans="1:19" ht="27" x14ac:dyDescent="0.25">
      <c r="A4" s="5"/>
      <c r="B4" s="6"/>
      <c r="C4" s="6"/>
      <c r="D4" s="6"/>
      <c r="E4" s="6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"/>
    </row>
    <row r="5" spans="1:19" ht="27" x14ac:dyDescent="0.25">
      <c r="A5" s="5"/>
      <c r="B5" s="6"/>
      <c r="C5" s="7"/>
      <c r="D5" s="6"/>
      <c r="E5" s="6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"/>
    </row>
    <row r="6" spans="1:19" x14ac:dyDescent="0.25">
      <c r="A6" s="5"/>
      <c r="B6" s="5"/>
      <c r="C6" s="5"/>
      <c r="D6" s="5"/>
      <c r="E6" s="5"/>
      <c r="F6" s="5"/>
      <c r="G6" s="5"/>
      <c r="H6" s="8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25">
      <c r="A7" s="60" t="s">
        <v>1</v>
      </c>
      <c r="B7" s="60"/>
      <c r="C7" s="60"/>
      <c r="D7" s="60"/>
      <c r="E7" s="61"/>
      <c r="F7" s="61"/>
      <c r="G7" s="61"/>
      <c r="H7" s="61"/>
      <c r="I7" s="61"/>
      <c r="J7" s="61"/>
      <c r="K7" s="61"/>
      <c r="L7" s="61"/>
      <c r="M7" s="5"/>
      <c r="N7" s="5"/>
      <c r="O7" s="60" t="s">
        <v>2</v>
      </c>
      <c r="P7" s="60"/>
      <c r="Q7" s="61"/>
      <c r="R7" s="61"/>
      <c r="S7" s="5"/>
    </row>
    <row r="8" spans="1:19" x14ac:dyDescent="0.25">
      <c r="A8" s="5"/>
      <c r="B8" s="62"/>
      <c r="C8" s="62"/>
      <c r="D8" s="62"/>
      <c r="E8" s="62"/>
      <c r="F8" s="63"/>
      <c r="G8" s="63"/>
      <c r="H8" s="63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A9" s="64" t="s">
        <v>3</v>
      </c>
      <c r="B9" s="64"/>
      <c r="C9" s="64"/>
      <c r="D9" s="64"/>
      <c r="E9" s="61"/>
      <c r="F9" s="61"/>
      <c r="G9" s="61"/>
      <c r="H9" s="61"/>
      <c r="I9" s="61"/>
      <c r="J9" s="61"/>
      <c r="K9" s="61"/>
      <c r="L9" s="61"/>
      <c r="M9" s="5"/>
      <c r="N9" s="5"/>
      <c r="O9" s="65" t="s">
        <v>4</v>
      </c>
      <c r="P9" s="65"/>
      <c r="Q9" s="66"/>
      <c r="R9" s="66"/>
      <c r="S9" s="5"/>
    </row>
    <row r="10" spans="1:19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25">
      <c r="A11" s="64" t="s">
        <v>5</v>
      </c>
      <c r="B11" s="64"/>
      <c r="C11" s="64"/>
      <c r="D11" s="64"/>
      <c r="E11" s="67"/>
      <c r="F11" s="67"/>
      <c r="G11" s="67"/>
      <c r="H11" s="67"/>
      <c r="I11" s="67"/>
      <c r="J11" s="67"/>
      <c r="K11" s="67"/>
      <c r="L11" s="67"/>
      <c r="M11" s="5"/>
      <c r="N11" s="5"/>
      <c r="O11" s="60" t="s">
        <v>6</v>
      </c>
      <c r="P11" s="60"/>
      <c r="Q11" s="61"/>
      <c r="R11" s="61"/>
      <c r="S11" s="5"/>
    </row>
    <row r="12" spans="1:19" x14ac:dyDescent="0.25">
      <c r="A12" s="68"/>
      <c r="B12" s="68"/>
      <c r="C12" s="9"/>
      <c r="D12" s="9"/>
      <c r="E12" s="10"/>
      <c r="F12" s="10"/>
      <c r="G12" s="69"/>
      <c r="H12" s="69"/>
      <c r="I12" s="70"/>
      <c r="J12" s="70"/>
      <c r="K12" s="70"/>
      <c r="L12" s="10"/>
      <c r="M12" s="9"/>
      <c r="N12" s="9"/>
      <c r="O12" s="9"/>
      <c r="P12" s="9"/>
      <c r="Q12" s="10"/>
      <c r="R12" s="10"/>
      <c r="S12" s="5"/>
    </row>
    <row r="13" spans="1:19" x14ac:dyDescent="0.25">
      <c r="A13" s="71" t="s">
        <v>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3"/>
      <c r="S13" s="11"/>
    </row>
    <row r="14" spans="1:19" x14ac:dyDescent="0.25">
      <c r="A14" s="12"/>
      <c r="B14" s="11"/>
      <c r="C14" s="11"/>
      <c r="D14" s="11"/>
      <c r="E14" s="11"/>
      <c r="F14" s="11"/>
      <c r="G14" s="13"/>
      <c r="H14" s="74" t="s">
        <v>8</v>
      </c>
      <c r="I14" s="76" t="s">
        <v>9</v>
      </c>
      <c r="J14" s="77"/>
      <c r="K14" s="77"/>
      <c r="L14" s="77"/>
      <c r="M14" s="77"/>
      <c r="N14" s="78"/>
      <c r="O14" s="74" t="s">
        <v>10</v>
      </c>
      <c r="P14" s="82" t="s">
        <v>11</v>
      </c>
      <c r="Q14" s="84" t="s">
        <v>12</v>
      </c>
      <c r="R14" s="82" t="s">
        <v>13</v>
      </c>
      <c r="S14" s="11"/>
    </row>
    <row r="15" spans="1:19" x14ac:dyDescent="0.25">
      <c r="A15" s="14"/>
      <c r="B15" s="11"/>
      <c r="C15" s="11"/>
      <c r="D15" s="11"/>
      <c r="E15" s="11"/>
      <c r="F15" s="11"/>
      <c r="G15" s="11"/>
      <c r="H15" s="75"/>
      <c r="I15" s="79"/>
      <c r="J15" s="80"/>
      <c r="K15" s="80"/>
      <c r="L15" s="80"/>
      <c r="M15" s="80"/>
      <c r="N15" s="81"/>
      <c r="O15" s="75"/>
      <c r="P15" s="83"/>
      <c r="Q15" s="85"/>
      <c r="R15" s="83"/>
      <c r="S15" s="11"/>
    </row>
    <row r="16" spans="1:19" x14ac:dyDescent="0.25">
      <c r="A16" s="14"/>
      <c r="B16" s="11"/>
      <c r="C16" s="11"/>
      <c r="D16" s="11"/>
      <c r="E16" s="11"/>
      <c r="F16" s="11"/>
      <c r="G16" s="15"/>
      <c r="H16" s="16"/>
      <c r="I16" s="17"/>
      <c r="J16" s="17"/>
      <c r="K16" s="17"/>
      <c r="L16" s="17"/>
      <c r="M16" s="17"/>
      <c r="N16" s="17"/>
      <c r="O16" s="18"/>
      <c r="P16" s="19"/>
      <c r="Q16" s="20"/>
      <c r="R16" s="21"/>
      <c r="S16" s="11"/>
    </row>
    <row r="17" spans="1:19" x14ac:dyDescent="0.25">
      <c r="A17" s="22"/>
      <c r="B17" s="11"/>
      <c r="C17" s="11"/>
      <c r="D17" s="11"/>
      <c r="E17" s="11"/>
      <c r="F17" s="11"/>
      <c r="G17" s="15"/>
      <c r="H17" s="23">
        <v>1.2</v>
      </c>
      <c r="I17" s="86" t="s">
        <v>14</v>
      </c>
      <c r="J17" s="87"/>
      <c r="K17" s="87"/>
      <c r="L17" s="87"/>
      <c r="M17" s="87"/>
      <c r="N17" s="88"/>
      <c r="O17" s="24" t="s">
        <v>15</v>
      </c>
      <c r="P17" s="25">
        <v>1</v>
      </c>
      <c r="Q17" s="26">
        <v>162.16999999999999</v>
      </c>
      <c r="R17" s="27">
        <f t="shared" ref="R17:R31" si="0">+P17*Q17</f>
        <v>162.16999999999999</v>
      </c>
      <c r="S17" s="11"/>
    </row>
    <row r="18" spans="1:19" x14ac:dyDescent="0.25">
      <c r="A18" s="22"/>
      <c r="B18" s="11"/>
      <c r="C18" s="11"/>
      <c r="D18" s="11"/>
      <c r="E18" s="11"/>
      <c r="F18" s="11"/>
      <c r="G18" s="15"/>
      <c r="H18" s="28">
        <v>1.3</v>
      </c>
      <c r="I18" s="89" t="s">
        <v>16</v>
      </c>
      <c r="J18" s="90"/>
      <c r="K18" s="90"/>
      <c r="L18" s="90"/>
      <c r="M18" s="90"/>
      <c r="N18" s="91"/>
      <c r="O18" s="29" t="s">
        <v>15</v>
      </c>
      <c r="P18" s="25">
        <v>3</v>
      </c>
      <c r="Q18" s="30">
        <v>79.27</v>
      </c>
      <c r="R18" s="31">
        <f t="shared" si="0"/>
        <v>237.81</v>
      </c>
      <c r="S18" s="11"/>
    </row>
    <row r="19" spans="1:19" x14ac:dyDescent="0.25">
      <c r="A19" s="14"/>
      <c r="B19" s="32"/>
      <c r="C19" s="32"/>
      <c r="D19" s="32"/>
      <c r="E19" s="32"/>
      <c r="F19" s="32"/>
      <c r="G19" s="33"/>
      <c r="H19" s="34">
        <v>1.4</v>
      </c>
      <c r="I19" s="89" t="s">
        <v>17</v>
      </c>
      <c r="J19" s="90"/>
      <c r="K19" s="90"/>
      <c r="L19" s="90"/>
      <c r="M19" s="90"/>
      <c r="N19" s="91"/>
      <c r="O19" s="29" t="s">
        <v>15</v>
      </c>
      <c r="P19" s="25">
        <v>3</v>
      </c>
      <c r="Q19" s="30">
        <v>463.64</v>
      </c>
      <c r="R19" s="31">
        <f t="shared" si="0"/>
        <v>1390.92</v>
      </c>
      <c r="S19" s="11"/>
    </row>
    <row r="20" spans="1:19" x14ac:dyDescent="0.25">
      <c r="A20" s="14"/>
      <c r="B20" s="32"/>
      <c r="C20" s="32"/>
      <c r="D20" s="32"/>
      <c r="E20" s="32"/>
      <c r="F20" s="32"/>
      <c r="G20" s="33"/>
      <c r="H20" s="34">
        <v>1.7</v>
      </c>
      <c r="I20" s="89" t="s">
        <v>18</v>
      </c>
      <c r="J20" s="90"/>
      <c r="K20" s="90"/>
      <c r="L20" s="90"/>
      <c r="M20" s="90"/>
      <c r="N20" s="91"/>
      <c r="O20" s="29" t="s">
        <v>15</v>
      </c>
      <c r="P20" s="25">
        <v>1</v>
      </c>
      <c r="Q20" s="30">
        <v>209.9</v>
      </c>
      <c r="R20" s="31">
        <f t="shared" si="0"/>
        <v>209.9</v>
      </c>
      <c r="S20" s="11"/>
    </row>
    <row r="21" spans="1:19" x14ac:dyDescent="0.25">
      <c r="A21" s="35"/>
      <c r="B21" s="32"/>
      <c r="C21" s="32"/>
      <c r="D21" s="32"/>
      <c r="E21" s="32"/>
      <c r="F21" s="32"/>
      <c r="G21" s="33"/>
      <c r="H21" s="34">
        <v>1.6</v>
      </c>
      <c r="I21" s="89" t="s">
        <v>19</v>
      </c>
      <c r="J21" s="90"/>
      <c r="K21" s="90"/>
      <c r="L21" s="90"/>
      <c r="M21" s="90"/>
      <c r="N21" s="91"/>
      <c r="O21" s="29" t="s">
        <v>15</v>
      </c>
      <c r="P21" s="25">
        <v>2</v>
      </c>
      <c r="Q21" s="30">
        <v>659.39</v>
      </c>
      <c r="R21" s="31">
        <f t="shared" si="0"/>
        <v>1318.78</v>
      </c>
      <c r="S21" s="11"/>
    </row>
    <row r="22" spans="1:19" x14ac:dyDescent="0.25">
      <c r="A22" s="36"/>
      <c r="B22" s="32"/>
      <c r="C22" s="32"/>
      <c r="D22" s="32"/>
      <c r="E22" s="32"/>
      <c r="F22" s="32"/>
      <c r="G22" s="33"/>
      <c r="H22" s="34">
        <v>1.5</v>
      </c>
      <c r="I22" s="89" t="s">
        <v>20</v>
      </c>
      <c r="J22" s="90"/>
      <c r="K22" s="90"/>
      <c r="L22" s="90"/>
      <c r="M22" s="90"/>
      <c r="N22" s="91"/>
      <c r="O22" s="29" t="s">
        <v>15</v>
      </c>
      <c r="P22" s="25">
        <v>4</v>
      </c>
      <c r="Q22" s="30">
        <v>1700.01</v>
      </c>
      <c r="R22" s="31">
        <f t="shared" si="0"/>
        <v>6800.04</v>
      </c>
      <c r="S22" s="11"/>
    </row>
    <row r="23" spans="1:19" x14ac:dyDescent="0.25">
      <c r="A23" s="36"/>
      <c r="B23" s="32"/>
      <c r="C23" s="32"/>
      <c r="D23" s="32"/>
      <c r="E23" s="32"/>
      <c r="F23" s="32"/>
      <c r="G23" s="33"/>
      <c r="H23" s="34">
        <v>1.9</v>
      </c>
      <c r="I23" s="89" t="s">
        <v>21</v>
      </c>
      <c r="J23" s="90"/>
      <c r="K23" s="90"/>
      <c r="L23" s="90"/>
      <c r="M23" s="90"/>
      <c r="N23" s="91"/>
      <c r="O23" s="29" t="s">
        <v>15</v>
      </c>
      <c r="P23" s="25">
        <v>6</v>
      </c>
      <c r="Q23" s="30">
        <v>1700.01</v>
      </c>
      <c r="R23" s="31">
        <f t="shared" si="0"/>
        <v>10200.06</v>
      </c>
      <c r="S23" s="11"/>
    </row>
    <row r="24" spans="1:19" x14ac:dyDescent="0.25">
      <c r="A24" s="22"/>
      <c r="B24" s="11"/>
      <c r="C24" s="11"/>
      <c r="D24" s="11"/>
      <c r="E24" s="11"/>
      <c r="F24" s="11"/>
      <c r="G24" s="15"/>
      <c r="H24" s="34">
        <v>1.1000000000000001</v>
      </c>
      <c r="I24" s="89" t="s">
        <v>22</v>
      </c>
      <c r="J24" s="90"/>
      <c r="K24" s="90"/>
      <c r="L24" s="90"/>
      <c r="M24" s="90"/>
      <c r="N24" s="91"/>
      <c r="O24" s="29" t="s">
        <v>15</v>
      </c>
      <c r="P24" s="25">
        <v>8</v>
      </c>
      <c r="Q24" s="30">
        <v>44.54</v>
      </c>
      <c r="R24" s="31">
        <f t="shared" si="0"/>
        <v>356.32</v>
      </c>
      <c r="S24" s="11"/>
    </row>
    <row r="25" spans="1:19" x14ac:dyDescent="0.25">
      <c r="A25" s="22"/>
      <c r="B25" s="11"/>
      <c r="C25" s="11"/>
      <c r="D25" s="11"/>
      <c r="E25" s="11"/>
      <c r="F25" s="11"/>
      <c r="G25" s="15"/>
      <c r="H25" s="34">
        <v>1.8</v>
      </c>
      <c r="I25" s="92" t="s">
        <v>23</v>
      </c>
      <c r="J25" s="93"/>
      <c r="K25" s="93"/>
      <c r="L25" s="93"/>
      <c r="M25" s="93"/>
      <c r="N25" s="94"/>
      <c r="O25" s="29" t="s">
        <v>15</v>
      </c>
      <c r="P25" s="25">
        <v>2</v>
      </c>
      <c r="Q25" s="30">
        <v>647.11</v>
      </c>
      <c r="R25" s="31">
        <f t="shared" si="0"/>
        <v>1294.22</v>
      </c>
      <c r="S25" s="11"/>
    </row>
    <row r="26" spans="1:19" x14ac:dyDescent="0.25">
      <c r="A26" s="36"/>
      <c r="B26" s="32"/>
      <c r="C26" s="32"/>
      <c r="D26" s="32"/>
      <c r="E26" s="32"/>
      <c r="F26" s="32"/>
      <c r="G26" s="33"/>
      <c r="H26" s="34">
        <v>5.2</v>
      </c>
      <c r="I26" s="89" t="s">
        <v>24</v>
      </c>
      <c r="J26" s="90"/>
      <c r="K26" s="90"/>
      <c r="L26" s="90"/>
      <c r="M26" s="90"/>
      <c r="N26" s="91"/>
      <c r="O26" s="29" t="s">
        <v>15</v>
      </c>
      <c r="P26" s="25">
        <v>6</v>
      </c>
      <c r="Q26" s="30">
        <v>299.64999999999998</v>
      </c>
      <c r="R26" s="31">
        <f t="shared" si="0"/>
        <v>1797.8999999999999</v>
      </c>
      <c r="S26" s="11"/>
    </row>
    <row r="27" spans="1:19" x14ac:dyDescent="0.25">
      <c r="A27" s="36"/>
      <c r="B27" s="32"/>
      <c r="C27" s="32"/>
      <c r="D27" s="32"/>
      <c r="E27" s="32"/>
      <c r="F27" s="32"/>
      <c r="G27" s="33"/>
      <c r="H27" s="34">
        <v>4.4000000000000004</v>
      </c>
      <c r="I27" s="89" t="s">
        <v>25</v>
      </c>
      <c r="J27" s="90"/>
      <c r="K27" s="90"/>
      <c r="L27" s="90"/>
      <c r="M27" s="90"/>
      <c r="N27" s="91"/>
      <c r="O27" s="29" t="s">
        <v>15</v>
      </c>
      <c r="P27" s="25">
        <v>2</v>
      </c>
      <c r="Q27" s="30">
        <v>525.99</v>
      </c>
      <c r="R27" s="31">
        <f t="shared" si="0"/>
        <v>1051.98</v>
      </c>
      <c r="S27" s="11"/>
    </row>
    <row r="28" spans="1:19" x14ac:dyDescent="0.25">
      <c r="A28" s="36"/>
      <c r="B28" s="32"/>
      <c r="C28" s="32"/>
      <c r="D28" s="32"/>
      <c r="E28" s="32"/>
      <c r="F28" s="32"/>
      <c r="G28" s="33"/>
      <c r="H28" s="34">
        <v>4.3</v>
      </c>
      <c r="I28" s="92" t="s">
        <v>26</v>
      </c>
      <c r="J28" s="93"/>
      <c r="K28" s="93"/>
      <c r="L28" s="93"/>
      <c r="M28" s="93"/>
      <c r="N28" s="94"/>
      <c r="O28" s="29" t="s">
        <v>15</v>
      </c>
      <c r="P28" s="25">
        <v>0</v>
      </c>
      <c r="Q28" s="30">
        <v>710.2</v>
      </c>
      <c r="R28" s="31">
        <f t="shared" si="0"/>
        <v>0</v>
      </c>
      <c r="S28" s="11"/>
    </row>
    <row r="29" spans="1:19" x14ac:dyDescent="0.25">
      <c r="A29" s="36"/>
      <c r="B29" s="32"/>
      <c r="C29" s="32"/>
      <c r="D29" s="32"/>
      <c r="E29" s="32"/>
      <c r="F29" s="32"/>
      <c r="G29" s="33"/>
      <c r="H29" s="34">
        <v>4.5</v>
      </c>
      <c r="I29" s="89" t="s">
        <v>27</v>
      </c>
      <c r="J29" s="90"/>
      <c r="K29" s="90"/>
      <c r="L29" s="90"/>
      <c r="M29" s="90"/>
      <c r="N29" s="91"/>
      <c r="O29" s="29" t="s">
        <v>15</v>
      </c>
      <c r="P29" s="25">
        <v>1</v>
      </c>
      <c r="Q29" s="30">
        <v>765.17</v>
      </c>
      <c r="R29" s="31">
        <f t="shared" si="0"/>
        <v>765.17</v>
      </c>
      <c r="S29" s="11"/>
    </row>
    <row r="30" spans="1:19" x14ac:dyDescent="0.25">
      <c r="A30" s="36"/>
      <c r="B30" s="32"/>
      <c r="C30" s="32"/>
      <c r="D30" s="32"/>
      <c r="E30" s="32"/>
      <c r="F30" s="32"/>
      <c r="G30" s="33"/>
      <c r="H30" s="34">
        <v>5.0999999999999996</v>
      </c>
      <c r="I30" s="89" t="s">
        <v>28</v>
      </c>
      <c r="J30" s="90"/>
      <c r="K30" s="90"/>
      <c r="L30" s="90"/>
      <c r="M30" s="90"/>
      <c r="N30" s="91"/>
      <c r="O30" s="29" t="s">
        <v>15</v>
      </c>
      <c r="P30" s="25">
        <v>3</v>
      </c>
      <c r="Q30" s="30">
        <v>399.27</v>
      </c>
      <c r="R30" s="31">
        <f t="shared" si="0"/>
        <v>1197.81</v>
      </c>
      <c r="S30" s="11"/>
    </row>
    <row r="31" spans="1:19" x14ac:dyDescent="0.25">
      <c r="A31" s="14"/>
      <c r="B31" s="11"/>
      <c r="C31" s="11"/>
      <c r="D31" s="11"/>
      <c r="E31" s="11"/>
      <c r="F31" s="11"/>
      <c r="G31" s="15"/>
      <c r="H31" s="34">
        <v>5.3</v>
      </c>
      <c r="I31" s="89" t="s">
        <v>29</v>
      </c>
      <c r="J31" s="90"/>
      <c r="K31" s="90"/>
      <c r="L31" s="90"/>
      <c r="M31" s="90"/>
      <c r="N31" s="91"/>
      <c r="O31" s="29" t="s">
        <v>15</v>
      </c>
      <c r="P31" s="25">
        <v>0</v>
      </c>
      <c r="Q31" s="30">
        <v>728.44</v>
      </c>
      <c r="R31" s="31">
        <f t="shared" si="0"/>
        <v>0</v>
      </c>
      <c r="S31" s="11"/>
    </row>
    <row r="32" spans="1:19" x14ac:dyDescent="0.25">
      <c r="A32" s="36"/>
      <c r="B32" s="32"/>
      <c r="C32" s="32"/>
      <c r="D32" s="32"/>
      <c r="E32" s="32"/>
      <c r="F32" s="32"/>
      <c r="G32" s="33"/>
      <c r="H32" s="37"/>
      <c r="I32" s="95"/>
      <c r="J32" s="96"/>
      <c r="K32" s="96"/>
      <c r="L32" s="96"/>
      <c r="M32" s="96"/>
      <c r="N32" s="97"/>
      <c r="O32" s="39"/>
      <c r="P32" s="40"/>
      <c r="Q32" s="41"/>
      <c r="R32" s="42"/>
      <c r="S32" s="11"/>
    </row>
    <row r="33" spans="1:19" x14ac:dyDescent="0.25">
      <c r="A33" s="43"/>
      <c r="B33" s="44"/>
      <c r="C33" s="44"/>
      <c r="D33" s="44"/>
      <c r="E33" s="44"/>
      <c r="F33" s="44"/>
      <c r="G33" s="45"/>
      <c r="H33" s="46"/>
      <c r="I33" s="98"/>
      <c r="J33" s="99"/>
      <c r="K33" s="99"/>
      <c r="L33" s="99"/>
      <c r="M33" s="99"/>
      <c r="N33" s="100"/>
      <c r="O33" s="47"/>
      <c r="P33" s="48">
        <f>SUM(P17:P32)</f>
        <v>42</v>
      </c>
      <c r="Q33" s="49"/>
      <c r="R33" s="50">
        <f>SUM(R17:R32)</f>
        <v>26783.08</v>
      </c>
      <c r="S33" s="11"/>
    </row>
    <row r="34" spans="1:19" x14ac:dyDescent="0.25">
      <c r="A34" s="51"/>
      <c r="B34" s="32"/>
      <c r="C34" s="32"/>
      <c r="D34" s="32"/>
      <c r="E34" s="32"/>
      <c r="F34" s="32"/>
      <c r="G34" s="32"/>
      <c r="H34" s="51"/>
      <c r="I34" s="11"/>
      <c r="J34" s="11"/>
      <c r="K34" s="11"/>
      <c r="L34" s="11"/>
      <c r="M34" s="11"/>
      <c r="N34" s="11"/>
      <c r="O34" s="11"/>
      <c r="P34" s="11"/>
      <c r="Q34" s="11"/>
      <c r="R34" s="52"/>
      <c r="S34" s="11"/>
    </row>
    <row r="35" spans="1:19" x14ac:dyDescent="0.25">
      <c r="A35" s="51"/>
      <c r="B35" s="32"/>
      <c r="C35" s="32"/>
      <c r="D35" s="32"/>
      <c r="E35" s="32"/>
      <c r="F35" s="32"/>
      <c r="G35" s="32"/>
      <c r="H35" s="51"/>
      <c r="I35" s="11"/>
      <c r="J35" s="11"/>
      <c r="K35" s="11"/>
      <c r="L35" s="11"/>
      <c r="M35" s="11"/>
      <c r="N35" s="11"/>
      <c r="O35" s="11"/>
      <c r="P35" s="11" t="s">
        <v>30</v>
      </c>
      <c r="Q35" s="11"/>
      <c r="R35" s="52"/>
      <c r="S35" s="11"/>
    </row>
    <row r="36" spans="1:19" x14ac:dyDescent="0.25">
      <c r="A36" s="51"/>
      <c r="B36" s="32"/>
      <c r="C36" s="32"/>
      <c r="D36" s="32"/>
      <c r="E36" s="32"/>
      <c r="F36" s="32"/>
      <c r="G36" s="32"/>
      <c r="H36" s="51"/>
      <c r="I36" s="11"/>
      <c r="J36" s="11"/>
      <c r="K36" s="11"/>
      <c r="L36" s="11"/>
      <c r="M36" s="11"/>
      <c r="N36" s="11"/>
      <c r="O36" s="11"/>
      <c r="P36" s="11"/>
      <c r="Q36" s="11"/>
      <c r="R36" s="52"/>
      <c r="S36" s="11"/>
    </row>
    <row r="37" spans="1:19" x14ac:dyDescent="0.25">
      <c r="A37" s="51"/>
      <c r="B37" s="32"/>
      <c r="C37" s="32"/>
      <c r="D37" s="32"/>
      <c r="E37" s="32"/>
      <c r="F37" s="32"/>
      <c r="G37" s="32"/>
      <c r="H37" s="51"/>
      <c r="I37" s="11"/>
      <c r="J37" s="11"/>
      <c r="K37" s="11"/>
      <c r="L37" s="11"/>
      <c r="M37" s="11"/>
      <c r="N37" s="11"/>
      <c r="O37" s="11"/>
      <c r="P37" s="11"/>
      <c r="Q37" s="11"/>
      <c r="R37" s="52"/>
      <c r="S37" s="11"/>
    </row>
    <row r="38" spans="1:19" x14ac:dyDescent="0.25">
      <c r="A38" s="11"/>
      <c r="B38" s="101" t="s">
        <v>31</v>
      </c>
      <c r="C38" s="101"/>
      <c r="D38" s="101"/>
      <c r="E38" s="101"/>
      <c r="F38" s="101"/>
      <c r="G38" s="101"/>
      <c r="H38" s="11"/>
      <c r="I38" s="101" t="s">
        <v>32</v>
      </c>
      <c r="J38" s="101"/>
      <c r="K38" s="101"/>
      <c r="L38" s="101"/>
      <c r="M38" s="101"/>
      <c r="N38" s="101"/>
      <c r="O38" s="11"/>
      <c r="P38" s="101" t="s">
        <v>33</v>
      </c>
      <c r="Q38" s="101"/>
      <c r="R38" s="101"/>
      <c r="S38" s="11"/>
    </row>
    <row r="39" spans="1:19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53"/>
      <c r="Q39" s="53"/>
      <c r="R39" s="53"/>
      <c r="S39" s="11"/>
    </row>
    <row r="40" spans="1:19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53"/>
      <c r="Q40" s="53"/>
      <c r="R40" s="53"/>
      <c r="S40" s="11"/>
    </row>
    <row r="41" spans="1:19" x14ac:dyDescent="0.25">
      <c r="A41" s="11"/>
      <c r="B41" s="102"/>
      <c r="C41" s="102"/>
      <c r="D41" s="102"/>
      <c r="E41" s="102"/>
      <c r="F41" s="102"/>
      <c r="G41" s="102"/>
      <c r="H41" s="11"/>
      <c r="I41" s="38"/>
      <c r="J41" s="38"/>
      <c r="K41" s="38"/>
      <c r="L41" s="38"/>
      <c r="M41" s="38"/>
      <c r="N41" s="38"/>
      <c r="O41" s="11"/>
      <c r="P41" s="54"/>
      <c r="Q41" s="54"/>
      <c r="R41" s="54"/>
      <c r="S41" s="38"/>
    </row>
    <row r="42" spans="1:19" x14ac:dyDescent="0.25">
      <c r="A42" s="11"/>
      <c r="B42" s="103" t="s">
        <v>34</v>
      </c>
      <c r="C42" s="103"/>
      <c r="D42" s="103"/>
      <c r="E42" s="103"/>
      <c r="F42" s="103"/>
      <c r="G42" s="103"/>
      <c r="H42" s="56"/>
      <c r="I42" s="104" t="s">
        <v>35</v>
      </c>
      <c r="J42" s="104"/>
      <c r="K42" s="104"/>
      <c r="L42" s="104"/>
      <c r="M42" s="104"/>
      <c r="N42" s="104"/>
      <c r="O42" s="56"/>
      <c r="P42" s="103" t="s">
        <v>36</v>
      </c>
      <c r="Q42" s="103"/>
      <c r="R42" s="103"/>
      <c r="S42" s="103"/>
    </row>
    <row r="43" spans="1:19" x14ac:dyDescent="0.25">
      <c r="A43" s="51"/>
      <c r="B43" s="51"/>
      <c r="C43" s="51"/>
      <c r="D43" s="51"/>
      <c r="E43" s="51"/>
      <c r="F43" s="51"/>
      <c r="G43" s="51"/>
      <c r="H43" s="51"/>
      <c r="I43" s="11"/>
      <c r="J43" s="11"/>
      <c r="K43" s="11"/>
      <c r="L43" s="11"/>
      <c r="M43" s="11"/>
      <c r="N43" s="11"/>
      <c r="O43" s="11"/>
      <c r="P43" s="55"/>
      <c r="Q43" s="55"/>
      <c r="R43" s="55"/>
      <c r="S43" s="11"/>
    </row>
    <row r="44" spans="1:19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7"/>
    </row>
    <row r="45" spans="1:19" x14ac:dyDescent="0.2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7"/>
    </row>
    <row r="46" spans="1:19" x14ac:dyDescent="0.2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8"/>
      <c r="S46" s="57"/>
    </row>
    <row r="47" spans="1:19" x14ac:dyDescent="0.2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8"/>
      <c r="S47" s="57"/>
    </row>
    <row r="48" spans="1:19" x14ac:dyDescent="0.25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8"/>
      <c r="S48" s="57"/>
    </row>
    <row r="49" spans="1:19" x14ac:dyDescent="0.25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8"/>
      <c r="S49" s="57"/>
    </row>
    <row r="50" spans="1:19" x14ac:dyDescent="0.2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8"/>
      <c r="S50" s="57"/>
    </row>
    <row r="51" spans="1:19" x14ac:dyDescent="0.2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8"/>
      <c r="S51" s="57"/>
    </row>
    <row r="52" spans="1:19" x14ac:dyDescent="0.2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8"/>
      <c r="S52" s="57"/>
    </row>
  </sheetData>
  <mergeCells count="49">
    <mergeCell ref="B41:G41"/>
    <mergeCell ref="B42:G42"/>
    <mergeCell ref="I42:N42"/>
    <mergeCell ref="P42:S42"/>
    <mergeCell ref="I32:N32"/>
    <mergeCell ref="I33:N33"/>
    <mergeCell ref="B38:G38"/>
    <mergeCell ref="I38:N38"/>
    <mergeCell ref="P38:R38"/>
    <mergeCell ref="I27:N27"/>
    <mergeCell ref="I28:N28"/>
    <mergeCell ref="I29:N29"/>
    <mergeCell ref="I30:N30"/>
    <mergeCell ref="I31:N31"/>
    <mergeCell ref="I22:N22"/>
    <mergeCell ref="I23:N23"/>
    <mergeCell ref="I24:N24"/>
    <mergeCell ref="I25:N25"/>
    <mergeCell ref="I26:N26"/>
    <mergeCell ref="I17:N17"/>
    <mergeCell ref="I18:N18"/>
    <mergeCell ref="I19:N19"/>
    <mergeCell ref="I20:N20"/>
    <mergeCell ref="I21:N21"/>
    <mergeCell ref="A12:B12"/>
    <mergeCell ref="G12:H12"/>
    <mergeCell ref="I12:K12"/>
    <mergeCell ref="A13:R13"/>
    <mergeCell ref="H14:H15"/>
    <mergeCell ref="I14:N15"/>
    <mergeCell ref="O14:O15"/>
    <mergeCell ref="P14:P15"/>
    <mergeCell ref="Q14:Q15"/>
    <mergeCell ref="R14:R15"/>
    <mergeCell ref="Q9:R9"/>
    <mergeCell ref="A11:D11"/>
    <mergeCell ref="E11:L11"/>
    <mergeCell ref="O11:P11"/>
    <mergeCell ref="Q11:R11"/>
    <mergeCell ref="B8:E8"/>
    <mergeCell ref="F8:H8"/>
    <mergeCell ref="A9:D9"/>
    <mergeCell ref="E9:L9"/>
    <mergeCell ref="O9:P9"/>
    <mergeCell ref="F2:R5"/>
    <mergeCell ref="A7:D7"/>
    <mergeCell ref="E7:L7"/>
    <mergeCell ref="O7:P7"/>
    <mergeCell ref="Q7:R7"/>
  </mergeCells>
  <pageMargins left="0.70078740157480324" right="0.70078740157480324" top="0.75196850393700787" bottom="0.75196850393700787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HCO-40</dc:creator>
  <cp:lastModifiedBy>Jose Angel Soriano</cp:lastModifiedBy>
  <cp:revision>1</cp:revision>
  <dcterms:created xsi:type="dcterms:W3CDTF">2025-08-04T00:34:33Z</dcterms:created>
  <dcterms:modified xsi:type="dcterms:W3CDTF">2025-08-04T00:34:33Z</dcterms:modified>
</cp:coreProperties>
</file>